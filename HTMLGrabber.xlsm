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ichael\Desktop\"/>
    </mc:Choice>
  </mc:AlternateContent>
  <xr:revisionPtr revIDLastSave="0" documentId="13_ncr:1_{A583ACC1-1E2B-4075-86F4-0ADDAE3954DA}" xr6:coauthVersionLast="47" xr6:coauthVersionMax="47" xr10:uidLastSave="{00000000-0000-0000-0000-000000000000}"/>
  <bookViews>
    <workbookView xWindow="11535" yWindow="3600" windowWidth="28800" windowHeight="15990" activeTab="2" xr2:uid="{A2006532-FCEB-42F7-8504-04B04D081F72}"/>
  </bookViews>
  <sheets>
    <sheet name="Mr_Quantitative_NVDA" sheetId="2" r:id="rId1"/>
    <sheet name="Mr_Quantitative_AMZN" sheetId="3" r:id="rId2"/>
    <sheet name="Mr_Quantitative_AMD"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5" i="4" l="1"/>
  <c r="O25" i="4"/>
  <c r="N25" i="4"/>
  <c r="M25" i="4"/>
  <c r="L25" i="4"/>
  <c r="P24" i="4"/>
  <c r="O24" i="4"/>
  <c r="N24" i="4"/>
  <c r="M24" i="4"/>
  <c r="L24" i="4"/>
  <c r="K24" i="4"/>
  <c r="P23" i="4"/>
  <c r="O23" i="4"/>
  <c r="N23" i="4"/>
  <c r="M23" i="4"/>
  <c r="L23" i="4"/>
  <c r="K23" i="4"/>
  <c r="P25" i="3"/>
  <c r="O25" i="3"/>
  <c r="N25" i="3"/>
  <c r="M25" i="3"/>
  <c r="L25" i="3"/>
  <c r="P24" i="3"/>
  <c r="O24" i="3"/>
  <c r="N24" i="3"/>
  <c r="M24" i="3"/>
  <c r="L24" i="3"/>
  <c r="K24" i="3"/>
  <c r="P23" i="3"/>
  <c r="O23" i="3"/>
  <c r="N23" i="3"/>
  <c r="M23" i="3"/>
  <c r="L23" i="3"/>
  <c r="K23" i="3"/>
  <c r="P24" i="2"/>
  <c r="P25" i="2" s="1"/>
  <c r="O24" i="2"/>
  <c r="N24" i="2"/>
  <c r="N25" i="2" s="1"/>
  <c r="M24" i="2"/>
  <c r="L24" i="2"/>
  <c r="K24" i="2"/>
  <c r="P23" i="2"/>
  <c r="O23" i="2"/>
  <c r="N23" i="2"/>
  <c r="M23" i="2"/>
  <c r="L23" i="2"/>
  <c r="K23" i="2"/>
  <c r="M25" i="2" l="1"/>
  <c r="O25" i="2"/>
  <c r="L25" i="2"/>
</calcChain>
</file>

<file path=xl/sharedStrings.xml><?xml version="1.0" encoding="utf-8"?>
<sst xmlns="http://schemas.openxmlformats.org/spreadsheetml/2006/main" count="776" uniqueCount="526">
  <si>
    <t>Nvidia</t>
  </si>
  <si>
    <t xml:space="preserve">Fiscal Period: January </t>
  </si>
  <si>
    <t>Net sales1</t>
  </si>
  <si>
    <t>10 918</t>
  </si>
  <si>
    <t>16 675</t>
  </si>
  <si>
    <t>26 914</t>
  </si>
  <si>
    <t>34 762</t>
  </si>
  <si>
    <t>40 735</t>
  </si>
  <si>
    <t>45 597</t>
  </si>
  <si>
    <r>
      <t>Net sales</t>
    </r>
    <r>
      <rPr>
        <vertAlign val="superscript"/>
        <sz val="11"/>
        <color theme="1"/>
        <rFont val="Calibri"/>
        <family val="2"/>
        <scheme val="minor"/>
      </rPr>
      <t>1</t>
    </r>
  </si>
  <si>
    <t>EBITDA1</t>
  </si>
  <si>
    <t>3 227</t>
  </si>
  <si>
    <t>5 630</t>
  </si>
  <si>
    <t>11 215</t>
  </si>
  <si>
    <t>15 462</t>
  </si>
  <si>
    <t>19 201</t>
  </si>
  <si>
    <t>13 196</t>
  </si>
  <si>
    <r>
      <t>EBITDA</t>
    </r>
    <r>
      <rPr>
        <vertAlign val="superscript"/>
        <sz val="11"/>
        <color theme="1"/>
        <rFont val="Calibri"/>
        <family val="2"/>
        <scheme val="minor"/>
      </rPr>
      <t>1</t>
    </r>
  </si>
  <si>
    <t>Operating profit (EBIT)1</t>
  </si>
  <si>
    <t>3 735</t>
  </si>
  <si>
    <t>6 803</t>
  </si>
  <si>
    <t>12 690</t>
  </si>
  <si>
    <t>16 798</t>
  </si>
  <si>
    <t>20 116</t>
  </si>
  <si>
    <t>23 263</t>
  </si>
  <si>
    <r>
      <t>Operating profit (EBIT)</t>
    </r>
    <r>
      <rPr>
        <vertAlign val="superscript"/>
        <sz val="11"/>
        <color theme="1"/>
        <rFont val="Calibri"/>
        <family val="2"/>
        <scheme val="minor"/>
      </rPr>
      <t>1</t>
    </r>
  </si>
  <si>
    <t>Operating Margin</t>
  </si>
  <si>
    <t>34,2%</t>
  </si>
  <si>
    <t>40,8%</t>
  </si>
  <si>
    <t>47,2%</t>
  </si>
  <si>
    <t>48,3%</t>
  </si>
  <si>
    <t>49,4%</t>
  </si>
  <si>
    <t>51,0%</t>
  </si>
  <si>
    <t>Net income1</t>
  </si>
  <si>
    <t>2 796</t>
  </si>
  <si>
    <t>4 332</t>
  </si>
  <si>
    <t>9 752</t>
  </si>
  <si>
    <t>10 969</t>
  </si>
  <si>
    <t>14 708</t>
  </si>
  <si>
    <t>15 601</t>
  </si>
  <si>
    <r>
      <t>Net income</t>
    </r>
    <r>
      <rPr>
        <vertAlign val="superscript"/>
        <sz val="11"/>
        <color theme="1"/>
        <rFont val="Calibri"/>
        <family val="2"/>
        <scheme val="minor"/>
      </rPr>
      <t>1</t>
    </r>
  </si>
  <si>
    <t>Net margin</t>
  </si>
  <si>
    <t>25,6%</t>
  </si>
  <si>
    <t>26,0%</t>
  </si>
  <si>
    <t>36,2%</t>
  </si>
  <si>
    <t>31,6%</t>
  </si>
  <si>
    <t>36,1%</t>
  </si>
  <si>
    <t>EPS2</t>
  </si>
  <si>
    <t>1,13</t>
  </si>
  <si>
    <t>1,73</t>
  </si>
  <si>
    <t>3,85</t>
  </si>
  <si>
    <t>4,43</t>
  </si>
  <si>
    <t>5,92</t>
  </si>
  <si>
    <t>6,58</t>
  </si>
  <si>
    <r>
      <t>EPS</t>
    </r>
    <r>
      <rPr>
        <vertAlign val="superscript"/>
        <sz val="11"/>
        <color theme="1"/>
        <rFont val="Calibri"/>
        <family val="2"/>
        <scheme val="minor"/>
      </rPr>
      <t>2</t>
    </r>
  </si>
  <si>
    <r>
      <t>1</t>
    </r>
    <r>
      <rPr>
        <sz val="11"/>
        <color theme="1"/>
        <rFont val="Calibri"/>
        <family val="2"/>
        <scheme val="minor"/>
      </rPr>
      <t xml:space="preserve">USD in Million </t>
    </r>
    <r>
      <rPr>
        <vertAlign val="superscript"/>
        <sz val="11"/>
        <color theme="1"/>
        <rFont val="Calibri"/>
        <family val="2"/>
        <scheme val="minor"/>
      </rPr>
      <t>2</t>
    </r>
    <r>
      <rPr>
        <sz val="11"/>
        <color theme="1"/>
        <rFont val="Calibri"/>
        <family val="2"/>
        <scheme val="minor"/>
      </rPr>
      <t>USD</t>
    </r>
  </si>
  <si>
    <t>P/E ratio</t>
  </si>
  <si>
    <t>54,4x</t>
  </si>
  <si>
    <t>75,3x</t>
  </si>
  <si>
    <t>59,3x</t>
  </si>
  <si>
    <t>41,8x</t>
  </si>
  <si>
    <t>31,3x</t>
  </si>
  <si>
    <t>28,2x</t>
  </si>
  <si>
    <t>Capitalization1</t>
  </si>
  <si>
    <t>150 436</t>
  </si>
  <si>
    <t>321 626</t>
  </si>
  <si>
    <t>571 000</t>
  </si>
  <si>
    <t>464 420</t>
  </si>
  <si>
    <t>-</t>
  </si>
  <si>
    <r>
      <t>Capitalization</t>
    </r>
    <r>
      <rPr>
        <vertAlign val="superscript"/>
        <sz val="11"/>
        <color theme="1"/>
        <rFont val="Calibri"/>
        <family val="2"/>
        <scheme val="minor"/>
      </rPr>
      <t>1</t>
    </r>
  </si>
  <si>
    <t>Capitalization / Revenue</t>
  </si>
  <si>
    <t>13,8x</t>
  </si>
  <si>
    <t>19,3x</t>
  </si>
  <si>
    <t>21,2x</t>
  </si>
  <si>
    <t>13,4x</t>
  </si>
  <si>
    <t>11,4x</t>
  </si>
  <si>
    <t>10,2x</t>
  </si>
  <si>
    <t>Enterprise Value (EV)1</t>
  </si>
  <si>
    <t>141 530</t>
  </si>
  <si>
    <t>317 028</t>
  </si>
  <si>
    <t>560 738</t>
  </si>
  <si>
    <t>449 559</t>
  </si>
  <si>
    <t>436 970</t>
  </si>
  <si>
    <t>438 864</t>
  </si>
  <si>
    <r>
      <t>Enterprise Value (EV)</t>
    </r>
    <r>
      <rPr>
        <vertAlign val="superscript"/>
        <sz val="11"/>
        <color theme="1"/>
        <rFont val="Calibri"/>
        <family val="2"/>
        <scheme val="minor"/>
      </rPr>
      <t>1</t>
    </r>
  </si>
  <si>
    <t>EV / Revenue</t>
  </si>
  <si>
    <t>13,0x</t>
  </si>
  <si>
    <t>19,0x</t>
  </si>
  <si>
    <t>20,8x</t>
  </si>
  <si>
    <t>12,9x</t>
  </si>
  <si>
    <t>10,7x</t>
  </si>
  <si>
    <t>9,62x</t>
  </si>
  <si>
    <t>EV / EBITDA</t>
  </si>
  <si>
    <t>43,9x</t>
  </si>
  <si>
    <t>56,3x</t>
  </si>
  <si>
    <t>50,0x</t>
  </si>
  <si>
    <t>29,1x</t>
  </si>
  <si>
    <t>22,8x</t>
  </si>
  <si>
    <t>33,3x</t>
  </si>
  <si>
    <r>
      <t>1</t>
    </r>
    <r>
      <rPr>
        <sz val="11"/>
        <color theme="1"/>
        <rFont val="Calibri"/>
        <family val="2"/>
        <scheme val="minor"/>
      </rPr>
      <t>USD in Million</t>
    </r>
  </si>
  <si>
    <t>Revenue</t>
  </si>
  <si>
    <t>Net Debt1</t>
  </si>
  <si>
    <r>
      <t>Net Debt</t>
    </r>
    <r>
      <rPr>
        <vertAlign val="superscript"/>
        <sz val="11"/>
        <color theme="1"/>
        <rFont val="Calibri"/>
        <family val="2"/>
        <scheme val="minor"/>
      </rPr>
      <t>1</t>
    </r>
  </si>
  <si>
    <t>Net Cash position1</t>
  </si>
  <si>
    <t>8 906</t>
  </si>
  <si>
    <t>4 598</t>
  </si>
  <si>
    <t>10 262</t>
  </si>
  <si>
    <t>14 860</t>
  </si>
  <si>
    <t>27 449</t>
  </si>
  <si>
    <t>25 555</t>
  </si>
  <si>
    <r>
      <t>Net Cash position</t>
    </r>
    <r>
      <rPr>
        <vertAlign val="superscript"/>
        <sz val="11"/>
        <color theme="1"/>
        <rFont val="Calibri"/>
        <family val="2"/>
        <scheme val="minor"/>
      </rPr>
      <t>1</t>
    </r>
  </si>
  <si>
    <t>Leverage (Debt / EBITDA)</t>
  </si>
  <si>
    <t>-2,76x</t>
  </si>
  <si>
    <t>-0,82x</t>
  </si>
  <si>
    <t>-0,92x</t>
  </si>
  <si>
    <t>-0,96x</t>
  </si>
  <si>
    <t>-1,43x</t>
  </si>
  <si>
    <t>-1,94x</t>
  </si>
  <si>
    <t>2022 Q2</t>
  </si>
  <si>
    <t>2022 Q3</t>
  </si>
  <si>
    <t>2022 Q4</t>
  </si>
  <si>
    <t>2023 Q1</t>
  </si>
  <si>
    <t>2023 Q2</t>
  </si>
  <si>
    <t>2023 Q3</t>
  </si>
  <si>
    <t>6 507</t>
  </si>
  <si>
    <t>7 103</t>
  </si>
  <si>
    <t>7 643</t>
  </si>
  <si>
    <t>8 093</t>
  </si>
  <si>
    <t>8 450</t>
  </si>
  <si>
    <t>9 045</t>
  </si>
  <si>
    <t>3 279</t>
  </si>
  <si>
    <t>3 195</t>
  </si>
  <si>
    <t>3 450</t>
  </si>
  <si>
    <t>3 909</t>
  </si>
  <si>
    <t>3 071</t>
  </si>
  <si>
    <t>3 386</t>
  </si>
  <si>
    <t>3 677</t>
  </si>
  <si>
    <t>3 839</t>
  </si>
  <si>
    <t>4 021</t>
  </si>
  <si>
    <t>4 384</t>
  </si>
  <si>
    <t>47,7%</t>
  </si>
  <si>
    <t>48,1%</t>
  </si>
  <si>
    <t>47,4%</t>
  </si>
  <si>
    <t>47,6%</t>
  </si>
  <si>
    <t>48,5%</t>
  </si>
  <si>
    <t>2 374</t>
  </si>
  <si>
    <t>2 464</t>
  </si>
  <si>
    <t>3 003</t>
  </si>
  <si>
    <t>1 740</t>
  </si>
  <si>
    <t>2 850</t>
  </si>
  <si>
    <t>3 176</t>
  </si>
  <si>
    <t>36,5%</t>
  </si>
  <si>
    <t>34,7%</t>
  </si>
  <si>
    <t>39,3%</t>
  </si>
  <si>
    <t>21,5%</t>
  </si>
  <si>
    <t>33,7%</t>
  </si>
  <si>
    <t>35,1%</t>
  </si>
  <si>
    <t>Sales Per Business</t>
  </si>
  <si>
    <t>Sales Per Region</t>
  </si>
  <si>
    <t>Sector(s)</t>
  </si>
  <si>
    <t>Technology</t>
  </si>
  <si>
    <t>Industry</t>
  </si>
  <si>
    <t>Semiconductors</t>
  </si>
  <si>
    <t>Exchange</t>
  </si>
  <si>
    <t>a</t>
  </si>
  <si>
    <t>Previous Close</t>
  </si>
  <si>
    <t>Avg. Volume</t>
  </si>
  <si>
    <t>Market Cap</t>
  </si>
  <si>
    <t>462.191B</t>
  </si>
  <si>
    <t>Beta (5Y Monthly)</t>
  </si>
  <si>
    <t>Earnings Date</t>
  </si>
  <si>
    <t>Forward Dividend &amp; Yield</t>
  </si>
  <si>
    <t>0.16 (0.09%)</t>
  </si>
  <si>
    <t>1y Target Est</t>
  </si>
  <si>
    <t xml:space="preserve">Enterprise Value </t>
  </si>
  <si>
    <t>530.71B</t>
  </si>
  <si>
    <t xml:space="preserve">Trailing P/E </t>
  </si>
  <si>
    <t xml:space="preserve">Forward P/E </t>
  </si>
  <si>
    <t xml:space="preserve">PEG Ratio (5 yr expected) </t>
  </si>
  <si>
    <t>25.7M</t>
  </si>
  <si>
    <t>24.49M</t>
  </si>
  <si>
    <t xml:space="preserve">Shares Short (Apr 13, 2022) </t>
  </si>
  <si>
    <t xml:space="preserve">Shares Short (prior month Mar 14, 2022) </t>
  </si>
  <si>
    <t xml:space="preserve">Short Ratio (Apr 13, 2022) </t>
  </si>
  <si>
    <t xml:space="preserve">Short % of Float (Apr 13, 2022) </t>
  </si>
  <si>
    <t>53.9M</t>
  </si>
  <si>
    <t>56.53M</t>
  </si>
  <si>
    <t xml:space="preserve">Avg Vol (3 month) </t>
  </si>
  <si>
    <t xml:space="preserve">Avg Vol (10 day) </t>
  </si>
  <si>
    <t>YoY</t>
  </si>
  <si>
    <t>Delta</t>
  </si>
  <si>
    <t>Graphics</t>
  </si>
  <si>
    <t>9 834.00</t>
  </si>
  <si>
    <t>15 868.00</t>
  </si>
  <si>
    <t>Compute and Networking</t>
  </si>
  <si>
    <t>6 841.00</t>
  </si>
  <si>
    <t>11 046.00</t>
  </si>
  <si>
    <t>USD in Million</t>
  </si>
  <si>
    <t>Taiwan</t>
  </si>
  <si>
    <t>4 531.00</t>
  </si>
  <si>
    <t>8 544.00</t>
  </si>
  <si>
    <t>China</t>
  </si>
  <si>
    <t>3 886.00</t>
  </si>
  <si>
    <t>7 111.00</t>
  </si>
  <si>
    <t>Other Countries</t>
  </si>
  <si>
    <t>6 910.00</t>
  </si>
  <si>
    <t>United States</t>
  </si>
  <si>
    <t>3 214.00</t>
  </si>
  <si>
    <t>4 349.00</t>
  </si>
  <si>
    <t>NVIDIA Corporation is the world leader in the design, development, and marketing of programmable graphics processors. The group also develops associated software (ForceWear brand). Net sales break down by family of products as follows:_x000D_
_x000D_
- computer processors (86.7%): processors for graphics and multimedia (GeForce, Personal Cinema, Quadro brands, etc.), storage and security (nForce) for computers, servers, work stations, etc.;_x000D_
_x000D_
- mobile processors (13.3%): processors that integrate the functions of image capture, video reading, and games for mobile telephones, portable game consoles, etc. and marketed under the GoForce name._x000D_
_x000D_
Net sales break down by industry between gaming (50.5%), data storage (27.3%), professional visualization (11.1%), automotive (6.4%) and other (4.7%)._x000D_
_x000D_
Net sales break down geographically as follows: the United States (8.1%), Taiwan (27.7%), China (25%), Asia/Pacific (24.6%), Europe (9.1%) and other (5.5%)._x000D_
_x000D_
Number of employees : 22 473 people.</t>
  </si>
  <si>
    <t>Amazon</t>
  </si>
  <si>
    <t xml:space="preserve">Fiscal Period: December </t>
  </si>
  <si>
    <t>280 522</t>
  </si>
  <si>
    <t>386 064</t>
  </si>
  <si>
    <t>469 822</t>
  </si>
  <si>
    <t>526 528</t>
  </si>
  <si>
    <t>616 688</t>
  </si>
  <si>
    <t>713 634</t>
  </si>
  <si>
    <t>43 395</t>
  </si>
  <si>
    <t>57 283</t>
  </si>
  <si>
    <t>71 994</t>
  </si>
  <si>
    <t>75 420</t>
  </si>
  <si>
    <t>99 710</t>
  </si>
  <si>
    <t>129 501</t>
  </si>
  <si>
    <t>14 541</t>
  </si>
  <si>
    <t>22 899</t>
  </si>
  <si>
    <t>24 879</t>
  </si>
  <si>
    <t>17 635</t>
  </si>
  <si>
    <t>36 658</t>
  </si>
  <si>
    <t>58 618</t>
  </si>
  <si>
    <t>5,18%</t>
  </si>
  <si>
    <t>5,93%</t>
  </si>
  <si>
    <t>5,30%</t>
  </si>
  <si>
    <t>3,35%</t>
  </si>
  <si>
    <t>5,94%</t>
  </si>
  <si>
    <t>8,21%</t>
  </si>
  <si>
    <t>11 588</t>
  </si>
  <si>
    <t>21 331</t>
  </si>
  <si>
    <t>33 364</t>
  </si>
  <si>
    <t>7 483</t>
  </si>
  <si>
    <t>29 615</t>
  </si>
  <si>
    <t>47 845</t>
  </si>
  <si>
    <t>4,13%</t>
  </si>
  <si>
    <t>5,53%</t>
  </si>
  <si>
    <t>7,10%</t>
  </si>
  <si>
    <t>1,42%</t>
  </si>
  <si>
    <t>4,80%</t>
  </si>
  <si>
    <t>6,70%</t>
  </si>
  <si>
    <t>23,0</t>
  </si>
  <si>
    <t>41,8</t>
  </si>
  <si>
    <t>64,8</t>
  </si>
  <si>
    <t>14,6</t>
  </si>
  <si>
    <t>57,2</t>
  </si>
  <si>
    <t>90,8</t>
  </si>
  <si>
    <t>80,3x</t>
  </si>
  <si>
    <t>77,9x</t>
  </si>
  <si>
    <t>51,4x</t>
  </si>
  <si>
    <t>170x</t>
  </si>
  <si>
    <t>43,5x</t>
  </si>
  <si>
    <t>27,4x</t>
  </si>
  <si>
    <t>916 154</t>
  </si>
  <si>
    <t>1 634 168</t>
  </si>
  <si>
    <t>1 691 003</t>
  </si>
  <si>
    <t>1 264 491</t>
  </si>
  <si>
    <t>3,27x</t>
  </si>
  <si>
    <t>4,23x</t>
  </si>
  <si>
    <t>3,60x</t>
  </si>
  <si>
    <t>2,40x</t>
  </si>
  <si>
    <t>2,05x</t>
  </si>
  <si>
    <t>1,77x</t>
  </si>
  <si>
    <t>884 547</t>
  </si>
  <si>
    <t>1 581 588</t>
  </si>
  <si>
    <t>1 643 698</t>
  </si>
  <si>
    <t>1 221 547</t>
  </si>
  <si>
    <t>1 188 218</t>
  </si>
  <si>
    <t>1 138 880</t>
  </si>
  <si>
    <t>3,15x</t>
  </si>
  <si>
    <t>4,10x</t>
  </si>
  <si>
    <t>3,50x</t>
  </si>
  <si>
    <t>2,32x</t>
  </si>
  <si>
    <t>1,93x</t>
  </si>
  <si>
    <t>1,60x</t>
  </si>
  <si>
    <t>20,4x</t>
  </si>
  <si>
    <t>27,6x</t>
  </si>
  <si>
    <t>16,2x</t>
  </si>
  <si>
    <t>11,9x</t>
  </si>
  <si>
    <t>8,79x</t>
  </si>
  <si>
    <t>31 607</t>
  </si>
  <si>
    <t>52 580</t>
  </si>
  <si>
    <t>47 305</t>
  </si>
  <si>
    <t>42 943</t>
  </si>
  <si>
    <t>76 273</t>
  </si>
  <si>
    <t>125 611</t>
  </si>
  <si>
    <t>-0,73x</t>
  </si>
  <si>
    <t>-0,66x</t>
  </si>
  <si>
    <t>-0,57x</t>
  </si>
  <si>
    <t>-0,76x</t>
  </si>
  <si>
    <t>-0,97x</t>
  </si>
  <si>
    <t>2021 Q3</t>
  </si>
  <si>
    <t>2021 Q4</t>
  </si>
  <si>
    <t>2022 Q1</t>
  </si>
  <si>
    <t>110 812</t>
  </si>
  <si>
    <t>137 412</t>
  </si>
  <si>
    <t>116 444</t>
  </si>
  <si>
    <t>120 126</t>
  </si>
  <si>
    <t>129 231</t>
  </si>
  <si>
    <t>159 908</t>
  </si>
  <si>
    <t>16 969</t>
  </si>
  <si>
    <t>16 966</t>
  </si>
  <si>
    <t>16 146</t>
  </si>
  <si>
    <t>16 357</t>
  </si>
  <si>
    <t>19 095</t>
  </si>
  <si>
    <t>21 853</t>
  </si>
  <si>
    <t>4 852</t>
  </si>
  <si>
    <t>3 460</t>
  </si>
  <si>
    <t>3 669</t>
  </si>
  <si>
    <t>1 887</t>
  </si>
  <si>
    <t>5 027</t>
  </si>
  <si>
    <t>7 092</t>
  </si>
  <si>
    <t>4,38%</t>
  </si>
  <si>
    <t>2,52%</t>
  </si>
  <si>
    <t>3,15%</t>
  </si>
  <si>
    <t>1,57%</t>
  </si>
  <si>
    <t>3,89%</t>
  </si>
  <si>
    <t>4,44%</t>
  </si>
  <si>
    <t>3 156</t>
  </si>
  <si>
    <t>14 323</t>
  </si>
  <si>
    <t>-3 844</t>
  </si>
  <si>
    <t>1 751</t>
  </si>
  <si>
    <t>4 139</t>
  </si>
  <si>
    <t>5 730</t>
  </si>
  <si>
    <t>2,85%</t>
  </si>
  <si>
    <t>10,4%</t>
  </si>
  <si>
    <t>-3,30%</t>
  </si>
  <si>
    <t>1,46%</t>
  </si>
  <si>
    <t>3,20%</t>
  </si>
  <si>
    <t>3,58%</t>
  </si>
  <si>
    <t>Online Stores</t>
  </si>
  <si>
    <t>197 346.00</t>
  </si>
  <si>
    <t>222 075.00</t>
  </si>
  <si>
    <t>Third-party Seller Services</t>
  </si>
  <si>
    <t>80 461.00</t>
  </si>
  <si>
    <t>103 366.00</t>
  </si>
  <si>
    <t>Amazon Web Services</t>
  </si>
  <si>
    <t>45 370.00</t>
  </si>
  <si>
    <t>62 202.00</t>
  </si>
  <si>
    <t>Subscription Services</t>
  </si>
  <si>
    <t>25 207.00</t>
  </si>
  <si>
    <t>31 768.00</t>
  </si>
  <si>
    <t>Advertising Services</t>
  </si>
  <si>
    <t>31 160.00</t>
  </si>
  <si>
    <t>Physical Stores</t>
  </si>
  <si>
    <t>16 227.00</t>
  </si>
  <si>
    <t>17 075.00</t>
  </si>
  <si>
    <t>Other</t>
  </si>
  <si>
    <t>21 453.00</t>
  </si>
  <si>
    <t>2 176.00</t>
  </si>
  <si>
    <t>North America</t>
  </si>
  <si>
    <t>236 282.00</t>
  </si>
  <si>
    <t>279 833.00</t>
  </si>
  <si>
    <t>International</t>
  </si>
  <si>
    <t>104 412.00</t>
  </si>
  <si>
    <t>127 787.00</t>
  </si>
  <si>
    <t>Global</t>
  </si>
  <si>
    <t>Amazon.com, Inc. is one of the world leaders in on-line distribution of products to the general public. The group also operates a marketplace activity, allowing individuals and distribution companies to conduct their purchase and selling transactions for goods and services. The activity is organized around three families of products and services:_x000D_
_x000D_
- electronic and computer products: toys, cameras, computers, laptops and peripherals, TVs, stereo systems, readers, wireless communication products, etc. Amazon.com also offers kitchen and garden equipment, clothing, beauty products, etc.;_x000D_
_x000D_
- cultural products: books, musical products, video games and DVDs;_x000D_
_x000D_
- other: primarily Internet interface and application development services._x000D_
_x000D_
Net sales break down by source of income between sales of products (51.5%) and sales of services (44.1%)._x000D_
_x000D_
Net sales are distributed geographically a s follows: the United States (66.8%), Germany (8%), the United Kingdom (6.8%), Japan (4.9%), and other (13.5%)._x000D_
_x000D_
Number of employees : 1 608 000 people.</t>
  </si>
  <si>
    <t>Consumer Cyclical</t>
  </si>
  <si>
    <t>Internet Retail</t>
  </si>
  <si>
    <t>1.23T</t>
  </si>
  <si>
    <t>Jul 27, 2022 - Aug 01, 2022</t>
  </si>
  <si>
    <t>N/A (N/A)</t>
  </si>
  <si>
    <t>1.31T</t>
  </si>
  <si>
    <t>3.55M</t>
  </si>
  <si>
    <t>4.23M</t>
  </si>
  <si>
    <t>3.86M</t>
  </si>
  <si>
    <t>4.49M</t>
  </si>
  <si>
    <t>AMD</t>
  </si>
  <si>
    <t>6 731</t>
  </si>
  <si>
    <t>9 763</t>
  </si>
  <si>
    <t>16 434</t>
  </si>
  <si>
    <t>1 062</t>
  </si>
  <si>
    <t>1 969</t>
  </si>
  <si>
    <t>4 476</t>
  </si>
  <si>
    <t>1 657</t>
  </si>
  <si>
    <t>4 069</t>
  </si>
  <si>
    <t>12,5%</t>
  </si>
  <si>
    <t>17,0%</t>
  </si>
  <si>
    <t>24,8%</t>
  </si>
  <si>
    <t>31,2%</t>
  </si>
  <si>
    <t>2 490</t>
  </si>
  <si>
    <t>3 162</t>
  </si>
  <si>
    <t>5,07%</t>
  </si>
  <si>
    <t>25,5%</t>
  </si>
  <si>
    <t>19,2%</t>
  </si>
  <si>
    <t>22,3%</t>
  </si>
  <si>
    <t>0,30</t>
  </si>
  <si>
    <t>2,06</t>
  </si>
  <si>
    <t>2,57</t>
  </si>
  <si>
    <t>155x</t>
  </si>
  <si>
    <t>44,6x</t>
  </si>
  <si>
    <t>56,9x</t>
  </si>
  <si>
    <t>52 990</t>
  </si>
  <si>
    <t>110 546</t>
  </si>
  <si>
    <t>176 480</t>
  </si>
  <si>
    <t>7,87x</t>
  </si>
  <si>
    <t>11,3x</t>
  </si>
  <si>
    <t>51 973</t>
  </si>
  <si>
    <t>108 586</t>
  </si>
  <si>
    <t>173 185</t>
  </si>
  <si>
    <t>7,72x</t>
  </si>
  <si>
    <t>11,1x</t>
  </si>
  <si>
    <t>10,5x</t>
  </si>
  <si>
    <t>4,56x</t>
  </si>
  <si>
    <t>48,9x</t>
  </si>
  <si>
    <t>55,1x</t>
  </si>
  <si>
    <t>38,7x</t>
  </si>
  <si>
    <t>1 017</t>
  </si>
  <si>
    <t>1 960</t>
  </si>
  <si>
    <t>3 295</t>
  </si>
  <si>
    <t>-1,00x</t>
  </si>
  <si>
    <t>-0,74x</t>
  </si>
  <si>
    <t>4 313</t>
  </si>
  <si>
    <t>4 826</t>
  </si>
  <si>
    <t>1 152</t>
  </si>
  <si>
    <t>1 446</t>
  </si>
  <si>
    <t>1 055</t>
  </si>
  <si>
    <t>1 328</t>
  </si>
  <si>
    <t>24,5%</t>
  </si>
  <si>
    <t>27,5%</t>
  </si>
  <si>
    <t>30,0%</t>
  </si>
  <si>
    <t>21,4%</t>
  </si>
  <si>
    <t>20,2%</t>
  </si>
  <si>
    <t>Computing and Graphics</t>
  </si>
  <si>
    <t>6 432.00</t>
  </si>
  <si>
    <t>9 332.00</t>
  </si>
  <si>
    <t>Enterprise, Embedded and Semi-Custom</t>
  </si>
  <si>
    <t>3 331.00</t>
  </si>
  <si>
    <t>7 102.00</t>
  </si>
  <si>
    <t>2 294.00</t>
  </si>
  <si>
    <t>4 656.00</t>
  </si>
  <si>
    <t>China (including Hong Kong)</t>
  </si>
  <si>
    <t>2 329.00</t>
  </si>
  <si>
    <t>4 096.00</t>
  </si>
  <si>
    <t>Japan</t>
  </si>
  <si>
    <t>1 033.00</t>
  </si>
  <si>
    <t>2 381.00</t>
  </si>
  <si>
    <t>1 187.00</t>
  </si>
  <si>
    <t>2 091.00</t>
  </si>
  <si>
    <t>Singapore</t>
  </si>
  <si>
    <t>1 096.00</t>
  </si>
  <si>
    <t>1 389.00</t>
  </si>
  <si>
    <t>Europe</t>
  </si>
  <si>
    <t>1 108.00</t>
  </si>
  <si>
    <t>1 249.00</t>
  </si>
  <si>
    <t>Advanced Micro Devices, Inc. specializes in the design, manufacturing and marketing of semiconductors and microprocessors. The group sells processors, chips, cards, connection products, adapters, etc. intended primarily for computers, servers, work stations, telephones, and game consoles. Net sales break down by market as follows:_x000D_
_x000D_
- graphic products (56.8%);_x000D_
_x000D_
- professional computing products (43.2%)._x000D_
_x000D_
Net sales are distributed geographically as follows: the United States (28.3%), China (24.9%), Japan (14.5%), Taiwan (12.7%), Singapore (8.5%), Europe (7.6%) and others (3.5%)._x000D_
_x000D_
Number of employees : 15 500 people.</t>
  </si>
  <si>
    <t>26 364</t>
  </si>
  <si>
    <t>29 876</t>
  </si>
  <si>
    <t>32 624</t>
  </si>
  <si>
    <t>8 497</t>
  </si>
  <si>
    <t>10 031</t>
  </si>
  <si>
    <t>10 214</t>
  </si>
  <si>
    <t>8 004</t>
  </si>
  <si>
    <t>9 281</t>
  </si>
  <si>
    <t>9 221</t>
  </si>
  <si>
    <t>30,4%</t>
  </si>
  <si>
    <t>31,1%</t>
  </si>
  <si>
    <t>28,3%</t>
  </si>
  <si>
    <t>5 131</t>
  </si>
  <si>
    <t>6 656</t>
  </si>
  <si>
    <t>7 436</t>
  </si>
  <si>
    <t>19,5%</t>
  </si>
  <si>
    <t>22,8%</t>
  </si>
  <si>
    <t>3,32</t>
  </si>
  <si>
    <t>4,16</t>
  </si>
  <si>
    <t>4,78</t>
  </si>
  <si>
    <t>28,4x</t>
  </si>
  <si>
    <t>22,7x</t>
  </si>
  <si>
    <t>19,7x</t>
  </si>
  <si>
    <t>152 717</t>
  </si>
  <si>
    <t>5,79x</t>
  </si>
  <si>
    <t>5,11x</t>
  </si>
  <si>
    <t>4,68x</t>
  </si>
  <si>
    <t>140 883</t>
  </si>
  <si>
    <t>136 356</t>
  </si>
  <si>
    <t>140 731</t>
  </si>
  <si>
    <t>5,34x</t>
  </si>
  <si>
    <t>4,31x</t>
  </si>
  <si>
    <t>16,6x</t>
  </si>
  <si>
    <t>13,6x</t>
  </si>
  <si>
    <t>11 834</t>
  </si>
  <si>
    <t>16 361</t>
  </si>
  <si>
    <t>11 985</t>
  </si>
  <si>
    <t>-1,39x</t>
  </si>
  <si>
    <t>-1,63x</t>
  </si>
  <si>
    <t>-1,17x</t>
  </si>
  <si>
    <t>5 887</t>
  </si>
  <si>
    <t>6 528</t>
  </si>
  <si>
    <t>6 866</t>
  </si>
  <si>
    <t>7 057</t>
  </si>
  <si>
    <t>1 967</t>
  </si>
  <si>
    <t>2 098</t>
  </si>
  <si>
    <t>2 175</t>
  </si>
  <si>
    <t>2 246</t>
  </si>
  <si>
    <t>1 837</t>
  </si>
  <si>
    <t>1 958</t>
  </si>
  <si>
    <t>2 084</t>
  </si>
  <si>
    <t>2 133</t>
  </si>
  <si>
    <t>30,2%</t>
  </si>
  <si>
    <t>1 326</t>
  </si>
  <si>
    <t>1 458</t>
  </si>
  <si>
    <t>1 490</t>
  </si>
  <si>
    <t>13,4%</t>
  </si>
  <si>
    <t>20,3%</t>
  </si>
  <si>
    <t>21,2%</t>
  </si>
  <si>
    <t>21,1%</t>
  </si>
  <si>
    <t>Jul 25, 2022 - Jul 29, 2022</t>
  </si>
  <si>
    <t>138.10B</t>
  </si>
  <si>
    <t>30.36M</t>
  </si>
  <si>
    <t>27.44M</t>
  </si>
  <si>
    <t xml:space="preserve">Shares Short (Apr 28, 2022) </t>
  </si>
  <si>
    <t xml:space="preserve">Shares Short (prior month Mar 30, 2022) </t>
  </si>
  <si>
    <t xml:space="preserve">Short Ratio (Apr 28, 2022) </t>
  </si>
  <si>
    <t xml:space="preserve">Short % of Float (Apr 28, 2022) </t>
  </si>
  <si>
    <t>108.57M</t>
  </si>
  <si>
    <t>146.52M</t>
  </si>
  <si>
    <t>Nasdaq</t>
  </si>
  <si>
    <t>165.041B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</si>
</sst>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vertAlign val="superscript"/>
      <sz val="11"/>
      <color theme="1"/>
      <name val="Calibri"/>
      <family val="2"/>
      <scheme val="minor"/>
    </font>
    <font>
      <sz val="11"/>
      <color rgb="FFFFFFFF"/>
      <name val="Calibri"/>
      <family val="2"/>
      <scheme val="minor"/>
    </font>
  </fonts>
  <fills count="5">
    <fill>
      <patternFill patternType="none"/>
    </fill>
    <fill>
      <patternFill patternType="gray125"/>
    </fill>
    <fill>
      <patternFill patternType="solid">
        <fgColor rgb="FF00B0F0"/>
        <bgColor indexed="64"/>
      </patternFill>
    </fill>
    <fill>
      <patternFill patternType="solid">
        <fgColor rgb="FFFF5050"/>
        <bgColor indexed="64"/>
      </patternFill>
    </fill>
    <fill>
      <patternFill patternType="solid">
        <fgColor theme="7" tint="0.79995117038483843"/>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9">
    <xf numFmtId="0" fontId="0" fillId="0" borderId="0" xfId="0"/>
    <xf numFmtId="0" fontId="0" fillId="2" borderId="0" xfId="0" applyFill="1"/>
    <xf numFmtId="0" fontId="0" fillId="3" borderId="1" xfId="0" applyFill="1" applyBorder="1"/>
    <xf numFmtId="0" fontId="0" fillId="4" borderId="1" xfId="0" applyFill="1" applyBorder="1"/>
    <xf numFmtId="0" fontId="0" fillId="3" borderId="1" xfId="0" applyFill="1" applyBorder="1" applyAlignment="1">
      <alignment horizontal="left"/>
    </xf>
    <xf numFmtId="0" fontId="0" fillId="3" borderId="1" xfId="0" applyFill="1" applyBorder="1" applyAlignment="1">
      <alignment horizontal="center"/>
    </xf>
    <xf numFmtId="0" fontId="0" fillId="4" borderId="1" xfId="0" applyFill="1" applyBorder="1" applyAlignment="1">
      <alignment horizontal="right"/>
    </xf>
    <xf numFmtId="0" fontId="1" fillId="3" borderId="1" xfId="0" applyFont="1" applyFill="1" applyBorder="1" applyAlignment="1">
      <alignment horizontal="left"/>
    </xf>
    <xf numFmtId="0" fontId="0" fillId="4" borderId="1" xfId="0" applyFill="1" applyBorder="1" applyAlignment="1">
      <alignment horizontal="right" wrapText="1"/>
    </xf>
    <xf numFmtId="3" fontId="0" fillId="4" borderId="1" xfId="0" applyNumberFormat="1" applyFill="1" applyBorder="1" applyAlignment="1">
      <alignment horizontal="right"/>
    </xf>
    <xf numFmtId="15" fontId="0" fillId="4" borderId="1" xfId="0" applyNumberFormat="1" applyFill="1" applyBorder="1" applyAlignment="1">
      <alignment horizontal="right"/>
    </xf>
    <xf numFmtId="10" fontId="0" fillId="0" borderId="0" xfId="0" applyNumberFormat="1"/>
    <xf numFmtId="10" fontId="0" fillId="4" borderId="1" xfId="0" applyNumberFormat="1" applyFill="1" applyBorder="1"/>
    <xf numFmtId="10" fontId="0" fillId="4" borderId="1" xfId="0" applyNumberFormat="1" applyFill="1" applyBorder="1" applyAlignment="1">
      <alignment horizontal="right"/>
    </xf>
    <xf numFmtId="0" fontId="2" fillId="0" borderId="0" xfId="0" applyFont="1"/>
    <xf numFmtId="9" fontId="0" fillId="4" borderId="1" xfId="0" applyNumberFormat="1" applyFill="1" applyBorder="1"/>
    <xf numFmtId="4" fontId="0" fillId="4" borderId="1" xfId="0" applyNumberFormat="1" applyFill="1" applyBorder="1" applyAlignment="1">
      <alignment horizontal="right"/>
    </xf>
    <xf numFmtId="0" fontId="0" fillId="3" borderId="1" xfId="0" applyFill="1" applyBorder="1" applyAlignment="1">
      <alignment horizontal="center" vertical="center"/>
    </xf>
    <xf numFmtId="0" fontId="0" fillId="0" borderId="1" xfId="0"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D5D"/>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numRef>
              <c:f>Mr_Quantitative_NVDA!$K$23:$P$23</c:f>
              <c:numCache>
                <c:formatCode>General</c:formatCode>
                <c:ptCount val="6"/>
                <c:pt idx="0">
                  <c:v>2020</c:v>
                </c:pt>
                <c:pt idx="1">
                  <c:v>2021</c:v>
                </c:pt>
                <c:pt idx="2">
                  <c:v>2022</c:v>
                </c:pt>
                <c:pt idx="3">
                  <c:v>2023</c:v>
                </c:pt>
                <c:pt idx="4">
                  <c:v>2024</c:v>
                </c:pt>
                <c:pt idx="5">
                  <c:v>2025</c:v>
                </c:pt>
              </c:numCache>
            </c:numRef>
          </c:cat>
          <c:val>
            <c:numRef>
              <c:f>Mr_Quantitative_NVDA!$K$24:$P$24</c:f>
              <c:numCache>
                <c:formatCode>General</c:formatCode>
                <c:ptCount val="6"/>
                <c:pt idx="0">
                  <c:v>10918</c:v>
                </c:pt>
                <c:pt idx="1">
                  <c:v>16675</c:v>
                </c:pt>
                <c:pt idx="2">
                  <c:v>26914</c:v>
                </c:pt>
                <c:pt idx="3">
                  <c:v>34762</c:v>
                </c:pt>
                <c:pt idx="4">
                  <c:v>40735</c:v>
                </c:pt>
                <c:pt idx="5">
                  <c:v>45597</c:v>
                </c:pt>
              </c:numCache>
            </c:numRef>
          </c:val>
          <c:extLst>
            <c:ext xmlns:c16="http://schemas.microsoft.com/office/drawing/2014/chart" uri="{C3380CC4-5D6E-409C-BE32-E72D297353CC}">
              <c16:uniqueId val="{00000000-DFF4-4B90-9D84-18940C664CA3}"/>
            </c:ext>
          </c:extLst>
        </c:ser>
        <c:ser>
          <c:idx val="2"/>
          <c:order val="2"/>
          <c:spPr>
            <a:solidFill>
              <a:schemeClr val="accent3"/>
            </a:solidFill>
            <a:ln>
              <a:noFill/>
            </a:ln>
            <a:effectLst/>
          </c:spPr>
          <c:invertIfNegative val="0"/>
          <c:extLst>
            <c:ext xmlns:c16="http://schemas.microsoft.com/office/drawing/2014/chart" uri="{C3380CC4-5D6E-409C-BE32-E72D297353CC}">
              <c16:uniqueId val="{00000002-DFF4-4B90-9D84-18940C664CA3}"/>
            </c:ext>
          </c:extLst>
        </c:ser>
        <c:dLbls>
          <c:showLegendKey val="0"/>
          <c:showVal val="0"/>
          <c:showCatName val="0"/>
          <c:showSerName val="0"/>
          <c:showPercent val="0"/>
          <c:showBubbleSize val="0"/>
        </c:dLbls>
        <c:gapWidth val="219"/>
        <c:overlap val="-27"/>
        <c:axId val="1863688832"/>
        <c:axId val="1863688416"/>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Mr_Quantitative_NVDA!$K$25:$P$25</c:f>
              <c:numCache>
                <c:formatCode>0.00%</c:formatCode>
                <c:ptCount val="6"/>
                <c:pt idx="1">
                  <c:v>0.52729437625938813</c:v>
                </c:pt>
                <c:pt idx="2">
                  <c:v>0.61403298350824587</c:v>
                </c:pt>
                <c:pt idx="3">
                  <c:v>0.29159545218102101</c:v>
                </c:pt>
                <c:pt idx="4">
                  <c:v>0.17182555664231056</c:v>
                </c:pt>
                <c:pt idx="5">
                  <c:v>0.11935681846078311</c:v>
                </c:pt>
              </c:numCache>
            </c:numRef>
          </c:val>
          <c:smooth val="0"/>
          <c:extLst>
            <c:ext xmlns:c16="http://schemas.microsoft.com/office/drawing/2014/chart" uri="{C3380CC4-5D6E-409C-BE32-E72D297353CC}">
              <c16:uniqueId val="{00000001-DFF4-4B90-9D84-18940C664CA3}"/>
            </c:ext>
          </c:extLst>
        </c:ser>
        <c:dLbls>
          <c:showLegendKey val="0"/>
          <c:showVal val="0"/>
          <c:showCatName val="0"/>
          <c:showSerName val="0"/>
          <c:showPercent val="0"/>
          <c:showBubbleSize val="0"/>
        </c:dLbls>
        <c:marker val="1"/>
        <c:smooth val="0"/>
        <c:axId val="252242336"/>
        <c:axId val="1863690080"/>
      </c:lineChart>
      <c:catAx>
        <c:axId val="186368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688416"/>
        <c:crosses val="autoZero"/>
        <c:auto val="1"/>
        <c:lblAlgn val="ctr"/>
        <c:lblOffset val="100"/>
        <c:noMultiLvlLbl val="0"/>
      </c:catAx>
      <c:valAx>
        <c:axId val="1863688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688832"/>
        <c:crosses val="autoZero"/>
        <c:crossBetween val="between"/>
      </c:valAx>
      <c:valAx>
        <c:axId val="1863690080"/>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42336"/>
        <c:crosses val="max"/>
        <c:crossBetween val="between"/>
      </c:valAx>
      <c:catAx>
        <c:axId val="252242336"/>
        <c:scaling>
          <c:orientation val="minMax"/>
        </c:scaling>
        <c:delete val="1"/>
        <c:axPos val="b"/>
        <c:majorTickMark val="out"/>
        <c:minorTickMark val="none"/>
        <c:tickLblPos val="nextTo"/>
        <c:crossAx val="18636900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numRef>
              <c:f>Mr_Quantitative_AMZN!$K$23:$P$23</c:f>
              <c:numCache>
                <c:formatCode>General</c:formatCode>
                <c:ptCount val="6"/>
                <c:pt idx="0">
                  <c:v>2019</c:v>
                </c:pt>
                <c:pt idx="1">
                  <c:v>2020</c:v>
                </c:pt>
                <c:pt idx="2">
                  <c:v>2021</c:v>
                </c:pt>
                <c:pt idx="3">
                  <c:v>2022</c:v>
                </c:pt>
                <c:pt idx="4">
                  <c:v>2023</c:v>
                </c:pt>
                <c:pt idx="5">
                  <c:v>2024</c:v>
                </c:pt>
              </c:numCache>
            </c:numRef>
          </c:cat>
          <c:val>
            <c:numRef>
              <c:f>Mr_Quantitative_AMZN!$K$24:$P$24</c:f>
              <c:numCache>
                <c:formatCode>General</c:formatCode>
                <c:ptCount val="6"/>
                <c:pt idx="0">
                  <c:v>280522</c:v>
                </c:pt>
                <c:pt idx="1">
                  <c:v>386064</c:v>
                </c:pt>
                <c:pt idx="2">
                  <c:v>469822</c:v>
                </c:pt>
                <c:pt idx="3">
                  <c:v>526528</c:v>
                </c:pt>
                <c:pt idx="4">
                  <c:v>616688</c:v>
                </c:pt>
                <c:pt idx="5">
                  <c:v>713634</c:v>
                </c:pt>
              </c:numCache>
            </c:numRef>
          </c:val>
          <c:extLst>
            <c:ext xmlns:c16="http://schemas.microsoft.com/office/drawing/2014/chart" uri="{C3380CC4-5D6E-409C-BE32-E72D297353CC}">
              <c16:uniqueId val="{00000000-1E78-4D7F-9704-403842598076}"/>
            </c:ext>
          </c:extLst>
        </c:ser>
        <c:ser>
          <c:idx val="2"/>
          <c:order val="2"/>
          <c:spPr>
            <a:solidFill>
              <a:schemeClr val="accent3"/>
            </a:solidFill>
            <a:ln>
              <a:noFill/>
            </a:ln>
            <a:effectLst/>
          </c:spPr>
          <c:invertIfNegative val="0"/>
          <c:extLst>
            <c:ext xmlns:c16="http://schemas.microsoft.com/office/drawing/2014/chart" uri="{C3380CC4-5D6E-409C-BE32-E72D297353CC}">
              <c16:uniqueId val="{00000002-1E78-4D7F-9704-403842598076}"/>
            </c:ext>
          </c:extLst>
        </c:ser>
        <c:dLbls>
          <c:showLegendKey val="0"/>
          <c:showVal val="0"/>
          <c:showCatName val="0"/>
          <c:showSerName val="0"/>
          <c:showPercent val="0"/>
          <c:showBubbleSize val="0"/>
        </c:dLbls>
        <c:gapWidth val="219"/>
        <c:overlap val="-27"/>
        <c:axId val="252241504"/>
        <c:axId val="203216640"/>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Mr_Quantitative_AMZN!$K$25:$P$25</c:f>
              <c:numCache>
                <c:formatCode>0.00%</c:formatCode>
                <c:ptCount val="6"/>
                <c:pt idx="1">
                  <c:v>0.37623430604373276</c:v>
                </c:pt>
                <c:pt idx="2">
                  <c:v>0.21695366571345684</c:v>
                </c:pt>
                <c:pt idx="3">
                  <c:v>0.12069677452311726</c:v>
                </c:pt>
                <c:pt idx="4">
                  <c:v>0.17123495806490824</c:v>
                </c:pt>
                <c:pt idx="5">
                  <c:v>0.1572042913110033</c:v>
                </c:pt>
              </c:numCache>
            </c:numRef>
          </c:val>
          <c:smooth val="0"/>
          <c:extLst>
            <c:ext xmlns:c16="http://schemas.microsoft.com/office/drawing/2014/chart" uri="{C3380CC4-5D6E-409C-BE32-E72D297353CC}">
              <c16:uniqueId val="{00000001-1E78-4D7F-9704-403842598076}"/>
            </c:ext>
          </c:extLst>
        </c:ser>
        <c:dLbls>
          <c:showLegendKey val="0"/>
          <c:showVal val="0"/>
          <c:showCatName val="0"/>
          <c:showSerName val="0"/>
          <c:showPercent val="0"/>
          <c:showBubbleSize val="0"/>
        </c:dLbls>
        <c:marker val="1"/>
        <c:smooth val="0"/>
        <c:axId val="2002286272"/>
        <c:axId val="203215808"/>
      </c:lineChart>
      <c:catAx>
        <c:axId val="25224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216640"/>
        <c:crosses val="autoZero"/>
        <c:auto val="1"/>
        <c:lblAlgn val="ctr"/>
        <c:lblOffset val="100"/>
        <c:noMultiLvlLbl val="0"/>
      </c:catAx>
      <c:valAx>
        <c:axId val="20321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41504"/>
        <c:crosses val="autoZero"/>
        <c:crossBetween val="between"/>
      </c:valAx>
      <c:valAx>
        <c:axId val="20321580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286272"/>
        <c:crosses val="max"/>
        <c:crossBetween val="between"/>
      </c:valAx>
      <c:catAx>
        <c:axId val="2002286272"/>
        <c:scaling>
          <c:orientation val="minMax"/>
        </c:scaling>
        <c:delete val="1"/>
        <c:axPos val="b"/>
        <c:majorTickMark val="out"/>
        <c:minorTickMark val="none"/>
        <c:tickLblPos val="nextTo"/>
        <c:crossAx val="20321580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numRef>
              <c:f>Mr_Quantitative_AMD!$K$23:$P$23</c:f>
              <c:numCache>
                <c:formatCode>General</c:formatCode>
                <c:ptCount val="6"/>
                <c:pt idx="0">
                  <c:v>2019</c:v>
                </c:pt>
                <c:pt idx="1">
                  <c:v>2020</c:v>
                </c:pt>
                <c:pt idx="2">
                  <c:v>2021</c:v>
                </c:pt>
                <c:pt idx="3">
                  <c:v>2022</c:v>
                </c:pt>
                <c:pt idx="4">
                  <c:v>2023</c:v>
                </c:pt>
                <c:pt idx="5">
                  <c:v>2024</c:v>
                </c:pt>
              </c:numCache>
            </c:numRef>
          </c:cat>
          <c:val>
            <c:numRef>
              <c:f>Mr_Quantitative_AMD!$K$24:$P$24</c:f>
              <c:numCache>
                <c:formatCode>General</c:formatCode>
                <c:ptCount val="6"/>
                <c:pt idx="0">
                  <c:v>6731</c:v>
                </c:pt>
                <c:pt idx="1">
                  <c:v>9763</c:v>
                </c:pt>
                <c:pt idx="2">
                  <c:v>16434</c:v>
                </c:pt>
                <c:pt idx="3">
                  <c:v>26364</c:v>
                </c:pt>
                <c:pt idx="4">
                  <c:v>29876</c:v>
                </c:pt>
                <c:pt idx="5">
                  <c:v>32624</c:v>
                </c:pt>
              </c:numCache>
            </c:numRef>
          </c:val>
          <c:extLst>
            <c:ext xmlns:c16="http://schemas.microsoft.com/office/drawing/2014/chart" uri="{C3380CC4-5D6E-409C-BE32-E72D297353CC}">
              <c16:uniqueId val="{00000000-AFA0-4C2A-AD4B-B389EA40DF84}"/>
            </c:ext>
          </c:extLst>
        </c:ser>
        <c:dLbls>
          <c:showLegendKey val="0"/>
          <c:showVal val="0"/>
          <c:showCatName val="0"/>
          <c:showSerName val="0"/>
          <c:showPercent val="0"/>
          <c:showBubbleSize val="0"/>
        </c:dLbls>
        <c:gapWidth val="219"/>
        <c:overlap val="-27"/>
        <c:axId val="2002284687"/>
        <c:axId val="2002285519"/>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Mr_Quantitative_AMD!$K$25:$P$25</c:f>
              <c:numCache>
                <c:formatCode>0.00%</c:formatCode>
                <c:ptCount val="6"/>
                <c:pt idx="1">
                  <c:v>0.45045312732134896</c:v>
                </c:pt>
                <c:pt idx="2">
                  <c:v>0.68329406944586701</c:v>
                </c:pt>
                <c:pt idx="3">
                  <c:v>0.6042351223074115</c:v>
                </c:pt>
                <c:pt idx="4">
                  <c:v>0.13321195569716279</c:v>
                </c:pt>
                <c:pt idx="5">
                  <c:v>9.1980184763689923E-2</c:v>
                </c:pt>
              </c:numCache>
            </c:numRef>
          </c:val>
          <c:smooth val="0"/>
          <c:extLst>
            <c:ext xmlns:c16="http://schemas.microsoft.com/office/drawing/2014/chart" uri="{C3380CC4-5D6E-409C-BE32-E72D297353CC}">
              <c16:uniqueId val="{00000001-AFA0-4C2A-AD4B-B389EA40DF84}"/>
            </c:ext>
          </c:extLst>
        </c:ser>
        <c:dLbls>
          <c:showLegendKey val="0"/>
          <c:showVal val="0"/>
          <c:showCatName val="0"/>
          <c:showSerName val="0"/>
          <c:showPercent val="0"/>
          <c:showBubbleSize val="0"/>
        </c:dLbls>
        <c:marker val="1"/>
        <c:smooth val="0"/>
        <c:axId val="2013317007"/>
        <c:axId val="2002287599"/>
      </c:lineChart>
      <c:catAx>
        <c:axId val="200228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285519"/>
        <c:crosses val="autoZero"/>
        <c:auto val="1"/>
        <c:lblAlgn val="ctr"/>
        <c:lblOffset val="100"/>
        <c:noMultiLvlLbl val="0"/>
      </c:catAx>
      <c:valAx>
        <c:axId val="2002285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284687"/>
        <c:crosses val="autoZero"/>
        <c:crossBetween val="between"/>
      </c:valAx>
      <c:valAx>
        <c:axId val="2002287599"/>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317007"/>
        <c:crosses val="max"/>
        <c:crossBetween val="between"/>
      </c:valAx>
      <c:catAx>
        <c:axId val="2013317007"/>
        <c:scaling>
          <c:orientation val="minMax"/>
        </c:scaling>
        <c:delete val="1"/>
        <c:axPos val="b"/>
        <c:majorTickMark val="out"/>
        <c:minorTickMark val="none"/>
        <c:tickLblPos val="nextTo"/>
        <c:crossAx val="2002287599"/>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9</xdr:col>
      <xdr:colOff>0</xdr:colOff>
      <xdr:row>3</xdr:row>
      <xdr:rowOff>0</xdr:rowOff>
    </xdr:from>
    <xdr:to>
      <xdr:col>18</xdr:col>
      <xdr:colOff>0</xdr:colOff>
      <xdr:row>21</xdr:row>
      <xdr:rowOff>0</xdr:rowOff>
    </xdr:to>
    <xdr:graphicFrame macro="">
      <xdr:nvGraphicFramePr>
        <xdr:cNvPr id="4" name="Chart 3">
          <a:extLst>
            <a:ext uri="{FF2B5EF4-FFF2-40B4-BE49-F238E27FC236}">
              <a16:creationId xmlns:a16="http://schemas.microsoft.com/office/drawing/2014/main" id="{A0EB7B12-196D-B55D-8174-DF6C8E132D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3</xdr:row>
      <xdr:rowOff>0</xdr:rowOff>
    </xdr:from>
    <xdr:to>
      <xdr:col>18</xdr:col>
      <xdr:colOff>0</xdr:colOff>
      <xdr:row>21</xdr:row>
      <xdr:rowOff>0</xdr:rowOff>
    </xdr:to>
    <xdr:graphicFrame macro="">
      <xdr:nvGraphicFramePr>
        <xdr:cNvPr id="2" name="Chart 1">
          <a:extLst>
            <a:ext uri="{FF2B5EF4-FFF2-40B4-BE49-F238E27FC236}">
              <a16:creationId xmlns:a16="http://schemas.microsoft.com/office/drawing/2014/main" id="{3D3008B4-EFBF-D16D-EAAA-72ECFBF831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3</xdr:row>
      <xdr:rowOff>0</xdr:rowOff>
    </xdr:from>
    <xdr:to>
      <xdr:col>18</xdr:col>
      <xdr:colOff>0</xdr:colOff>
      <xdr:row>21</xdr:row>
      <xdr:rowOff>0</xdr:rowOff>
    </xdr:to>
    <xdr:graphicFrame macro="">
      <xdr:nvGraphicFramePr>
        <xdr:cNvPr id="4" name="Chart 3">
          <a:extLst>
            <a:ext uri="{FF2B5EF4-FFF2-40B4-BE49-F238E27FC236}">
              <a16:creationId xmlns:a16="http://schemas.microsoft.com/office/drawing/2014/main" id="{146FAE26-26B4-5596-DD94-EFD70BCFBD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7400E-8B6B-4D20-B84B-37E270E22EE0}">
  <sheetPr codeName="Sheet2"/>
  <dimension ref="A2:U51"/>
  <sheetViews>
    <sheetView showGridLines="0" zoomScaleNormal="100" workbookViewId="0">
      <selection activeCell="N52" sqref="N52"/>
    </sheetView>
  </sheetViews>
  <sheetFormatPr defaultColWidth="9.140625" defaultRowHeight="15" customHeight="1" x14ac:dyDescent="0.25"/>
  <cols>
    <col min="2" max="2" width="26.28515625" bestFit="1" customWidth="1"/>
    <col min="3" max="3" width="8.7109375" bestFit="1" customWidth="1"/>
    <col min="4" max="4" width="8.5703125" bestFit="1" customWidth="1"/>
    <col min="5" max="5" width="9.85546875" bestFit="1" customWidth="1"/>
    <col min="6" max="6" width="8.5703125" bestFit="1" customWidth="1"/>
    <col min="7" max="7" width="8.7109375" bestFit="1" customWidth="1"/>
    <col min="8" max="8" width="8.5703125" bestFit="1" customWidth="1"/>
    <col min="10" max="10" width="23.140625" bestFit="1" customWidth="1"/>
    <col min="11" max="11" width="6.5703125" bestFit="1" customWidth="1"/>
    <col min="12" max="16" width="7.7109375" bestFit="1" customWidth="1"/>
    <col min="20" max="20" width="40.7109375" bestFit="1" customWidth="1"/>
    <col min="21" max="21" width="16.7109375" bestFit="1" customWidth="1"/>
  </cols>
  <sheetData>
    <row r="2" spans="1:21" ht="15" customHeight="1" x14ac:dyDescent="0.25">
      <c r="B2" s="1" t="s">
        <v>0</v>
      </c>
    </row>
    <row r="3" spans="1:21" ht="15" customHeight="1" thickBot="1" x14ac:dyDescent="0.3"/>
    <row r="4" spans="1:21" ht="15" customHeight="1" thickBot="1" x14ac:dyDescent="0.3">
      <c r="A4" s="14" t="s">
        <v>2</v>
      </c>
      <c r="B4" s="4" t="s">
        <v>1</v>
      </c>
      <c r="C4" s="5">
        <v>2020</v>
      </c>
      <c r="D4" s="5">
        <v>2021</v>
      </c>
      <c r="E4" s="5">
        <v>2022</v>
      </c>
      <c r="F4" s="5">
        <v>2023</v>
      </c>
      <c r="G4" s="5">
        <v>2024</v>
      </c>
      <c r="H4" s="5">
        <v>2025</v>
      </c>
      <c r="T4" s="2" t="s">
        <v>159</v>
      </c>
      <c r="U4" s="6" t="s">
        <v>160</v>
      </c>
    </row>
    <row r="5" spans="1:21" ht="15" customHeight="1" thickBot="1" x14ac:dyDescent="0.3">
      <c r="A5" s="14" t="s">
        <v>10</v>
      </c>
      <c r="B5" s="4" t="s">
        <v>9</v>
      </c>
      <c r="C5" s="6" t="s">
        <v>3</v>
      </c>
      <c r="D5" s="6" t="s">
        <v>4</v>
      </c>
      <c r="E5" s="6" t="s">
        <v>5</v>
      </c>
      <c r="F5" s="6" t="s">
        <v>6</v>
      </c>
      <c r="G5" s="6" t="s">
        <v>7</v>
      </c>
      <c r="H5" s="6" t="s">
        <v>8</v>
      </c>
      <c r="T5" s="2" t="s">
        <v>161</v>
      </c>
      <c r="U5" s="6" t="s">
        <v>162</v>
      </c>
    </row>
    <row r="6" spans="1:21" ht="15" customHeight="1" thickBot="1" x14ac:dyDescent="0.3">
      <c r="A6" s="14" t="s">
        <v>18</v>
      </c>
      <c r="B6" s="4" t="s">
        <v>17</v>
      </c>
      <c r="C6" s="6" t="s">
        <v>11</v>
      </c>
      <c r="D6" s="6" t="s">
        <v>12</v>
      </c>
      <c r="E6" s="6" t="s">
        <v>13</v>
      </c>
      <c r="F6" s="6" t="s">
        <v>14</v>
      </c>
      <c r="G6" s="6" t="s">
        <v>15</v>
      </c>
      <c r="H6" s="6" t="s">
        <v>16</v>
      </c>
      <c r="T6" s="2" t="s">
        <v>163</v>
      </c>
      <c r="U6" s="6" t="s">
        <v>164</v>
      </c>
    </row>
    <row r="7" spans="1:21" ht="15" customHeight="1" thickBot="1" x14ac:dyDescent="0.3">
      <c r="A7" s="14" t="s">
        <v>26</v>
      </c>
      <c r="B7" s="4" t="s">
        <v>25</v>
      </c>
      <c r="C7" s="6" t="s">
        <v>19</v>
      </c>
      <c r="D7" s="6" t="s">
        <v>20</v>
      </c>
      <c r="E7" s="6" t="s">
        <v>21</v>
      </c>
      <c r="F7" s="6" t="s">
        <v>22</v>
      </c>
      <c r="G7" s="6" t="s">
        <v>23</v>
      </c>
      <c r="H7" s="6" t="s">
        <v>24</v>
      </c>
    </row>
    <row r="8" spans="1:21" ht="15" customHeight="1" thickBot="1" x14ac:dyDescent="0.3">
      <c r="A8" s="14" t="s">
        <v>33</v>
      </c>
      <c r="B8" s="4" t="s">
        <v>26</v>
      </c>
      <c r="C8" s="6" t="s">
        <v>27</v>
      </c>
      <c r="D8" s="6" t="s">
        <v>28</v>
      </c>
      <c r="E8" s="6" t="s">
        <v>29</v>
      </c>
      <c r="F8" s="6" t="s">
        <v>30</v>
      </c>
      <c r="G8" s="6" t="s">
        <v>31</v>
      </c>
      <c r="H8" s="6" t="s">
        <v>32</v>
      </c>
      <c r="T8" s="4" t="s">
        <v>165</v>
      </c>
      <c r="U8" s="6">
        <v>197.82</v>
      </c>
    </row>
    <row r="9" spans="1:21" ht="15" customHeight="1" thickBot="1" x14ac:dyDescent="0.3">
      <c r="A9" s="14" t="s">
        <v>41</v>
      </c>
      <c r="B9" s="4" t="s">
        <v>40</v>
      </c>
      <c r="C9" s="6" t="s">
        <v>34</v>
      </c>
      <c r="D9" s="6" t="s">
        <v>35</v>
      </c>
      <c r="E9" s="6" t="s">
        <v>36</v>
      </c>
      <c r="F9" s="6" t="s">
        <v>37</v>
      </c>
      <c r="G9" s="6" t="s">
        <v>38</v>
      </c>
      <c r="H9" s="6" t="s">
        <v>39</v>
      </c>
      <c r="T9" s="4" t="s">
        <v>166</v>
      </c>
      <c r="U9" s="9">
        <v>53897046</v>
      </c>
    </row>
    <row r="10" spans="1:21" ht="15" customHeight="1" thickBot="1" x14ac:dyDescent="0.3">
      <c r="A10" s="14" t="s">
        <v>47</v>
      </c>
      <c r="B10" s="4" t="s">
        <v>41</v>
      </c>
      <c r="C10" s="6" t="s">
        <v>42</v>
      </c>
      <c r="D10" s="6" t="s">
        <v>43</v>
      </c>
      <c r="E10" s="6" t="s">
        <v>44</v>
      </c>
      <c r="F10" s="6" t="s">
        <v>45</v>
      </c>
      <c r="G10" s="6" t="s">
        <v>46</v>
      </c>
      <c r="H10" s="6" t="s">
        <v>27</v>
      </c>
      <c r="T10" s="4" t="s">
        <v>167</v>
      </c>
      <c r="U10" s="6" t="s">
        <v>168</v>
      </c>
    </row>
    <row r="11" spans="1:21" ht="15" customHeight="1" thickBot="1" x14ac:dyDescent="0.3">
      <c r="A11" s="14" t="s">
        <v>56</v>
      </c>
      <c r="B11" s="4" t="s">
        <v>54</v>
      </c>
      <c r="C11" s="6" t="s">
        <v>48</v>
      </c>
      <c r="D11" s="6" t="s">
        <v>49</v>
      </c>
      <c r="E11" s="6" t="s">
        <v>50</v>
      </c>
      <c r="F11" s="6" t="s">
        <v>51</v>
      </c>
      <c r="G11" s="6" t="s">
        <v>52</v>
      </c>
      <c r="H11" s="6" t="s">
        <v>53</v>
      </c>
      <c r="T11" s="4" t="s">
        <v>169</v>
      </c>
      <c r="U11" s="6">
        <v>1.42</v>
      </c>
    </row>
    <row r="12" spans="1:21" ht="15" customHeight="1" thickBot="1" x14ac:dyDescent="0.3">
      <c r="A12" s="14" t="s">
        <v>63</v>
      </c>
      <c r="B12" s="7" t="s">
        <v>55</v>
      </c>
      <c r="C12" s="8"/>
      <c r="D12" s="6"/>
      <c r="E12" s="6"/>
      <c r="F12" s="6"/>
      <c r="G12" s="6"/>
      <c r="H12" s="6"/>
      <c r="T12" s="4" t="s">
        <v>170</v>
      </c>
      <c r="U12" s="10">
        <v>44706</v>
      </c>
    </row>
    <row r="13" spans="1:21" ht="15" customHeight="1" thickBot="1" x14ac:dyDescent="0.3">
      <c r="A13" s="14" t="s">
        <v>70</v>
      </c>
      <c r="T13" s="4" t="s">
        <v>171</v>
      </c>
      <c r="U13" s="6" t="s">
        <v>172</v>
      </c>
    </row>
    <row r="14" spans="1:21" ht="15" customHeight="1" thickBot="1" x14ac:dyDescent="0.3">
      <c r="A14" s="14" t="s">
        <v>100</v>
      </c>
      <c r="B14" s="4" t="s">
        <v>1</v>
      </c>
      <c r="C14" s="5">
        <v>2020</v>
      </c>
      <c r="D14" s="5">
        <v>2021</v>
      </c>
      <c r="E14" s="5">
        <v>2022</v>
      </c>
      <c r="F14" s="5">
        <v>2023</v>
      </c>
      <c r="G14" s="5">
        <v>2024</v>
      </c>
      <c r="H14" s="5">
        <v>2025</v>
      </c>
      <c r="T14" s="4" t="s">
        <v>173</v>
      </c>
      <c r="U14" s="6">
        <v>329</v>
      </c>
    </row>
    <row r="15" spans="1:21" ht="15" customHeight="1" thickBot="1" x14ac:dyDescent="0.3">
      <c r="A15" s="14" t="s">
        <v>77</v>
      </c>
      <c r="B15" s="4" t="s">
        <v>56</v>
      </c>
      <c r="C15" s="6" t="s">
        <v>57</v>
      </c>
      <c r="D15" s="6" t="s">
        <v>58</v>
      </c>
      <c r="E15" s="6" t="s">
        <v>59</v>
      </c>
      <c r="F15" s="6" t="s">
        <v>60</v>
      </c>
      <c r="G15" s="6" t="s">
        <v>61</v>
      </c>
      <c r="H15" s="6" t="s">
        <v>62</v>
      </c>
      <c r="T15" s="4" t="s">
        <v>174</v>
      </c>
      <c r="U15" s="6" t="s">
        <v>175</v>
      </c>
    </row>
    <row r="16" spans="1:21" ht="15" customHeight="1" thickBot="1" x14ac:dyDescent="0.3">
      <c r="A16" s="14" t="s">
        <v>85</v>
      </c>
      <c r="B16" s="4" t="s">
        <v>69</v>
      </c>
      <c r="C16" s="6" t="s">
        <v>64</v>
      </c>
      <c r="D16" s="6" t="s">
        <v>65</v>
      </c>
      <c r="E16" s="6" t="s">
        <v>66</v>
      </c>
      <c r="F16" s="6" t="s">
        <v>67</v>
      </c>
      <c r="G16" s="6" t="s">
        <v>68</v>
      </c>
      <c r="H16" s="6" t="s">
        <v>68</v>
      </c>
      <c r="T16" s="4" t="s">
        <v>176</v>
      </c>
      <c r="U16" s="6">
        <v>48.17</v>
      </c>
    </row>
    <row r="17" spans="1:21" ht="15" customHeight="1" thickBot="1" x14ac:dyDescent="0.3">
      <c r="A17" s="14" t="s">
        <v>92</v>
      </c>
      <c r="B17" s="4" t="s">
        <v>70</v>
      </c>
      <c r="C17" s="6" t="s">
        <v>71</v>
      </c>
      <c r="D17" s="6" t="s">
        <v>72</v>
      </c>
      <c r="E17" s="6" t="s">
        <v>73</v>
      </c>
      <c r="F17" s="6" t="s">
        <v>74</v>
      </c>
      <c r="G17" s="6" t="s">
        <v>75</v>
      </c>
      <c r="H17" s="6" t="s">
        <v>76</v>
      </c>
      <c r="T17" s="4" t="s">
        <v>177</v>
      </c>
      <c r="U17" s="6">
        <v>33.22</v>
      </c>
    </row>
    <row r="18" spans="1:21" ht="15" customHeight="1" thickBot="1" x14ac:dyDescent="0.3">
      <c r="A18" s="14" t="s">
        <v>101</v>
      </c>
      <c r="B18" s="4" t="s">
        <v>100</v>
      </c>
      <c r="C18" s="9">
        <v>10901</v>
      </c>
      <c r="D18" s="9">
        <v>16665</v>
      </c>
      <c r="E18" s="9">
        <v>26934</v>
      </c>
      <c r="F18" s="9">
        <v>34658</v>
      </c>
      <c r="G18" s="6" t="s">
        <v>68</v>
      </c>
      <c r="H18" s="6" t="s">
        <v>68</v>
      </c>
      <c r="T18" s="4" t="s">
        <v>178</v>
      </c>
      <c r="U18" s="6">
        <v>2.44</v>
      </c>
    </row>
    <row r="19" spans="1:21" ht="15" customHeight="1" thickBot="1" x14ac:dyDescent="0.3">
      <c r="A19" s="14" t="s">
        <v>103</v>
      </c>
      <c r="B19" s="4" t="s">
        <v>84</v>
      </c>
      <c r="C19" s="6" t="s">
        <v>78</v>
      </c>
      <c r="D19" s="6" t="s">
        <v>79</v>
      </c>
      <c r="E19" s="6" t="s">
        <v>80</v>
      </c>
      <c r="F19" s="6" t="s">
        <v>81</v>
      </c>
      <c r="G19" s="6" t="s">
        <v>82</v>
      </c>
      <c r="H19" s="6" t="s">
        <v>83</v>
      </c>
    </row>
    <row r="20" spans="1:21" ht="15" customHeight="1" thickBot="1" x14ac:dyDescent="0.3">
      <c r="A20" s="14" t="s">
        <v>111</v>
      </c>
      <c r="B20" s="4" t="s">
        <v>85</v>
      </c>
      <c r="C20" s="6" t="s">
        <v>86</v>
      </c>
      <c r="D20" s="6" t="s">
        <v>87</v>
      </c>
      <c r="E20" s="6" t="s">
        <v>88</v>
      </c>
      <c r="F20" s="6" t="s">
        <v>89</v>
      </c>
      <c r="G20" s="6" t="s">
        <v>90</v>
      </c>
      <c r="H20" s="6" t="s">
        <v>91</v>
      </c>
      <c r="T20" s="4" t="s">
        <v>181</v>
      </c>
      <c r="U20" s="6" t="s">
        <v>179</v>
      </c>
    </row>
    <row r="21" spans="1:21" ht="15" customHeight="1" thickBot="1" x14ac:dyDescent="0.3">
      <c r="A21" s="14" t="s">
        <v>2</v>
      </c>
      <c r="B21" s="4" t="s">
        <v>92</v>
      </c>
      <c r="C21" s="6" t="s">
        <v>93</v>
      </c>
      <c r="D21" s="6" t="s">
        <v>94</v>
      </c>
      <c r="E21" s="6" t="s">
        <v>95</v>
      </c>
      <c r="F21" s="6" t="s">
        <v>96</v>
      </c>
      <c r="G21" s="6" t="s">
        <v>97</v>
      </c>
      <c r="H21" s="6" t="s">
        <v>98</v>
      </c>
      <c r="T21" s="4" t="s">
        <v>182</v>
      </c>
      <c r="U21" s="6" t="s">
        <v>180</v>
      </c>
    </row>
    <row r="22" spans="1:21" ht="15" customHeight="1" thickBot="1" x14ac:dyDescent="0.3">
      <c r="A22" s="14" t="s">
        <v>10</v>
      </c>
      <c r="B22" s="7" t="s">
        <v>99</v>
      </c>
      <c r="C22" s="8"/>
      <c r="D22" s="6"/>
      <c r="E22" s="6"/>
      <c r="F22" s="6"/>
      <c r="G22" s="6"/>
      <c r="H22" s="6"/>
      <c r="T22" s="4" t="s">
        <v>183</v>
      </c>
      <c r="U22" s="6">
        <v>0.47</v>
      </c>
    </row>
    <row r="23" spans="1:21" ht="15" customHeight="1" thickBot="1" x14ac:dyDescent="0.3">
      <c r="A23" s="14" t="s">
        <v>18</v>
      </c>
      <c r="J23" s="1" t="s">
        <v>1</v>
      </c>
      <c r="K23">
        <f>VLOOKUP(J23,B4:H36,2,FALSE)</f>
        <v>2020</v>
      </c>
      <c r="L23">
        <f>VLOOKUP(J23,B4:H36,3,FALSE)</f>
        <v>2021</v>
      </c>
      <c r="M23">
        <f>VLOOKUP(J23,B4:H36,4,FALSE)</f>
        <v>2022</v>
      </c>
      <c r="N23">
        <f>VLOOKUP(J23,B4:H36,5,FALSE)</f>
        <v>2023</v>
      </c>
      <c r="O23">
        <f>VLOOKUP(J23,B4:H36,6,FALSE)</f>
        <v>2024</v>
      </c>
      <c r="P23">
        <f>VLOOKUP(J23,B4:H36,7,FALSE)</f>
        <v>2025</v>
      </c>
      <c r="T23" s="4" t="s">
        <v>184</v>
      </c>
      <c r="U23" s="13">
        <v>9.1000000000000004E-3</v>
      </c>
    </row>
    <row r="24" spans="1:21" ht="15" customHeight="1" thickBot="1" x14ac:dyDescent="0.3">
      <c r="A24" s="14" t="s">
        <v>26</v>
      </c>
      <c r="B24" s="4" t="s">
        <v>1</v>
      </c>
      <c r="C24" s="5">
        <v>2020</v>
      </c>
      <c r="D24" s="5">
        <v>2021</v>
      </c>
      <c r="E24" s="5">
        <v>2022</v>
      </c>
      <c r="F24" s="5">
        <v>2023</v>
      </c>
      <c r="G24" s="5">
        <v>2024</v>
      </c>
      <c r="H24" s="5">
        <v>2025</v>
      </c>
      <c r="J24" s="1" t="s">
        <v>2</v>
      </c>
      <c r="K24">
        <f>VALUE(SUBSTITUTE(SUBSTITUTE(SUBSTITUTE(SUBSTITUTE(VLOOKUP(J24,B4:H36,2,FALSE)," ",""),"x",""),"%",""),",","."))</f>
        <v>10918</v>
      </c>
      <c r="L24">
        <f>VALUE(SUBSTITUTE(SUBSTITUTE(SUBSTITUTE(SUBSTITUTE(VLOOKUP(J24,B4:H36,3,FALSE)," ",""),"x",""),"%",""),",","."))</f>
        <v>16675</v>
      </c>
      <c r="M24">
        <f>VALUE(SUBSTITUTE(SUBSTITUTE(SUBSTITUTE(SUBSTITUTE(VLOOKUP(J24,B4:H36,4,FALSE)," ",""),"x",""),"%",""),",","."))</f>
        <v>26914</v>
      </c>
      <c r="N24">
        <f>VALUE(SUBSTITUTE(SUBSTITUTE(SUBSTITUTE(SUBSTITUTE(VLOOKUP(J24,B4:H36,5,FALSE)," ",""),"x",""),"%",""),",","."))</f>
        <v>34762</v>
      </c>
      <c r="O24">
        <f>VALUE(SUBSTITUTE(SUBSTITUTE(SUBSTITUTE(SUBSTITUTE(VLOOKUP(J24,B4:H36,6,FALSE)," ",""),"x",""),"%",""),",","."))</f>
        <v>40735</v>
      </c>
      <c r="P24">
        <f>VALUE(SUBSTITUTE(SUBSTITUTE(SUBSTITUTE(SUBSTITUTE(VLOOKUP(J24,B4:H36,7,FALSE)," ",""),"x",""),"%",""),",","."))</f>
        <v>45597</v>
      </c>
    </row>
    <row r="25" spans="1:21" ht="15" customHeight="1" thickBot="1" x14ac:dyDescent="0.3">
      <c r="A25" s="14" t="s">
        <v>33</v>
      </c>
      <c r="B25" s="4" t="s">
        <v>102</v>
      </c>
      <c r="C25" s="6" t="s">
        <v>68</v>
      </c>
      <c r="D25" s="6" t="s">
        <v>68</v>
      </c>
      <c r="E25" s="6" t="s">
        <v>68</v>
      </c>
      <c r="F25" s="6" t="s">
        <v>68</v>
      </c>
      <c r="G25" s="6" t="s">
        <v>68</v>
      </c>
      <c r="H25" s="6" t="s">
        <v>68</v>
      </c>
      <c r="J25" t="s">
        <v>189</v>
      </c>
      <c r="L25" s="11">
        <f>(L24-K24)/K24</f>
        <v>0.52729437625938813</v>
      </c>
      <c r="M25" s="11">
        <f>(M24-L24)/L24</f>
        <v>0.61403298350824587</v>
      </c>
      <c r="N25" s="11">
        <f>(N24-M24)/M24</f>
        <v>0.29159545218102101</v>
      </c>
      <c r="O25" s="11">
        <f>(O24-N24)/N24</f>
        <v>0.17182555664231056</v>
      </c>
      <c r="P25" s="11">
        <f>(P24-O24)/O24</f>
        <v>0.11935681846078311</v>
      </c>
      <c r="T25" s="4" t="s">
        <v>187</v>
      </c>
      <c r="U25" s="6" t="s">
        <v>185</v>
      </c>
    </row>
    <row r="26" spans="1:21" ht="15" customHeight="1" thickBot="1" x14ac:dyDescent="0.3">
      <c r="A26" s="14" t="s">
        <v>41</v>
      </c>
      <c r="B26" s="4" t="s">
        <v>110</v>
      </c>
      <c r="C26" s="6" t="s">
        <v>104</v>
      </c>
      <c r="D26" s="6" t="s">
        <v>105</v>
      </c>
      <c r="E26" s="6" t="s">
        <v>106</v>
      </c>
      <c r="F26" s="6" t="s">
        <v>107</v>
      </c>
      <c r="G26" s="6" t="s">
        <v>108</v>
      </c>
      <c r="H26" s="6" t="s">
        <v>109</v>
      </c>
      <c r="T26" s="4" t="s">
        <v>188</v>
      </c>
      <c r="U26" s="6" t="s">
        <v>186</v>
      </c>
    </row>
    <row r="27" spans="1:21" ht="15" customHeight="1" thickBot="1" x14ac:dyDescent="0.3">
      <c r="B27" s="4" t="s">
        <v>111</v>
      </c>
      <c r="C27" s="6" t="s">
        <v>112</v>
      </c>
      <c r="D27" s="6" t="s">
        <v>113</v>
      </c>
      <c r="E27" s="6" t="s">
        <v>114</v>
      </c>
      <c r="F27" s="6" t="s">
        <v>115</v>
      </c>
      <c r="G27" s="6" t="s">
        <v>116</v>
      </c>
      <c r="H27" s="6" t="s">
        <v>117</v>
      </c>
    </row>
    <row r="28" spans="1:21" ht="15" customHeight="1" thickBot="1" x14ac:dyDescent="0.3">
      <c r="B28" s="7" t="s">
        <v>55</v>
      </c>
      <c r="C28" s="8"/>
      <c r="D28" s="6"/>
      <c r="E28" s="6"/>
      <c r="F28" s="6"/>
      <c r="G28" s="6"/>
      <c r="H28" s="6"/>
    </row>
    <row r="29" spans="1:21" ht="15" customHeight="1" thickBot="1" x14ac:dyDescent="0.3"/>
    <row r="30" spans="1:21" ht="15" customHeight="1" thickBot="1" x14ac:dyDescent="0.3">
      <c r="B30" s="4" t="s">
        <v>1</v>
      </c>
      <c r="C30" s="5" t="s">
        <v>118</v>
      </c>
      <c r="D30" s="5" t="s">
        <v>119</v>
      </c>
      <c r="E30" s="5" t="s">
        <v>120</v>
      </c>
      <c r="F30" s="5" t="s">
        <v>121</v>
      </c>
      <c r="G30" s="5" t="s">
        <v>122</v>
      </c>
      <c r="H30" s="5" t="s">
        <v>123</v>
      </c>
    </row>
    <row r="31" spans="1:21" ht="15" customHeight="1" thickBot="1" x14ac:dyDescent="0.3">
      <c r="B31" s="4" t="s">
        <v>9</v>
      </c>
      <c r="C31" s="6" t="s">
        <v>124</v>
      </c>
      <c r="D31" s="6" t="s">
        <v>125</v>
      </c>
      <c r="E31" s="6" t="s">
        <v>126</v>
      </c>
      <c r="F31" s="6" t="s">
        <v>127</v>
      </c>
      <c r="G31" s="6" t="s">
        <v>128</v>
      </c>
      <c r="H31" s="6" t="s">
        <v>129</v>
      </c>
    </row>
    <row r="32" spans="1:21" ht="15" customHeight="1" thickBot="1" x14ac:dyDescent="0.3">
      <c r="B32" s="4" t="s">
        <v>17</v>
      </c>
      <c r="C32" s="6" t="s">
        <v>68</v>
      </c>
      <c r="D32" s="6" t="s">
        <v>68</v>
      </c>
      <c r="E32" s="6" t="s">
        <v>130</v>
      </c>
      <c r="F32" s="6" t="s">
        <v>131</v>
      </c>
      <c r="G32" s="6" t="s">
        <v>132</v>
      </c>
      <c r="H32" s="6" t="s">
        <v>133</v>
      </c>
    </row>
    <row r="33" spans="2:8" ht="15" customHeight="1" thickBot="1" x14ac:dyDescent="0.3">
      <c r="B33" s="4" t="s">
        <v>25</v>
      </c>
      <c r="C33" s="6" t="s">
        <v>134</v>
      </c>
      <c r="D33" s="6" t="s">
        <v>135</v>
      </c>
      <c r="E33" s="6" t="s">
        <v>136</v>
      </c>
      <c r="F33" s="6" t="s">
        <v>137</v>
      </c>
      <c r="G33" s="6" t="s">
        <v>138</v>
      </c>
      <c r="H33" s="6" t="s">
        <v>139</v>
      </c>
    </row>
    <row r="34" spans="2:8" ht="15" customHeight="1" thickBot="1" x14ac:dyDescent="0.3">
      <c r="B34" s="4" t="s">
        <v>26</v>
      </c>
      <c r="C34" s="6" t="s">
        <v>29</v>
      </c>
      <c r="D34" s="6" t="s">
        <v>140</v>
      </c>
      <c r="E34" s="6" t="s">
        <v>141</v>
      </c>
      <c r="F34" s="6" t="s">
        <v>142</v>
      </c>
      <c r="G34" s="6" t="s">
        <v>143</v>
      </c>
      <c r="H34" s="6" t="s">
        <v>144</v>
      </c>
    </row>
    <row r="35" spans="2:8" ht="15" customHeight="1" thickBot="1" x14ac:dyDescent="0.3">
      <c r="B35" s="4" t="s">
        <v>40</v>
      </c>
      <c r="C35" s="6" t="s">
        <v>145</v>
      </c>
      <c r="D35" s="6" t="s">
        <v>146</v>
      </c>
      <c r="E35" s="6" t="s">
        <v>147</v>
      </c>
      <c r="F35" s="6" t="s">
        <v>148</v>
      </c>
      <c r="G35" s="6" t="s">
        <v>149</v>
      </c>
      <c r="H35" s="6" t="s">
        <v>150</v>
      </c>
    </row>
    <row r="36" spans="2:8" ht="15" customHeight="1" thickBot="1" x14ac:dyDescent="0.3">
      <c r="B36" s="4" t="s">
        <v>41</v>
      </c>
      <c r="C36" s="6" t="s">
        <v>151</v>
      </c>
      <c r="D36" s="6" t="s">
        <v>152</v>
      </c>
      <c r="E36" s="6" t="s">
        <v>153</v>
      </c>
      <c r="F36" s="6" t="s">
        <v>154</v>
      </c>
      <c r="G36" s="6" t="s">
        <v>155</v>
      </c>
      <c r="H36" s="6" t="s">
        <v>156</v>
      </c>
    </row>
    <row r="37" spans="2:8" ht="15" customHeight="1" thickBot="1" x14ac:dyDescent="0.3">
      <c r="B37" s="7" t="s">
        <v>55</v>
      </c>
      <c r="C37" s="8"/>
      <c r="D37" s="6"/>
      <c r="E37" s="6"/>
      <c r="F37" s="6"/>
      <c r="G37" s="6"/>
      <c r="H37" s="6"/>
    </row>
    <row r="38" spans="2:8" ht="15" customHeight="1" thickBot="1" x14ac:dyDescent="0.3"/>
    <row r="39" spans="2:8" ht="15" customHeight="1" thickBot="1" x14ac:dyDescent="0.3">
      <c r="B39" s="2" t="s">
        <v>157</v>
      </c>
      <c r="C39" s="17">
        <v>2021</v>
      </c>
      <c r="D39" s="17"/>
      <c r="E39" s="17">
        <v>2022</v>
      </c>
      <c r="F39" s="17"/>
      <c r="G39" s="2" t="s">
        <v>190</v>
      </c>
    </row>
    <row r="40" spans="2:8" ht="15" customHeight="1" thickBot="1" x14ac:dyDescent="0.3">
      <c r="B40" s="2" t="s">
        <v>191</v>
      </c>
      <c r="C40" s="3" t="s">
        <v>192</v>
      </c>
      <c r="D40" s="15">
        <v>0.59</v>
      </c>
      <c r="E40" s="3" t="s">
        <v>193</v>
      </c>
      <c r="F40" s="15">
        <v>0.59</v>
      </c>
      <c r="G40" s="12">
        <v>0.61360000000000003</v>
      </c>
    </row>
    <row r="41" spans="2:8" ht="15" customHeight="1" thickBot="1" x14ac:dyDescent="0.3">
      <c r="B41" s="2" t="s">
        <v>194</v>
      </c>
      <c r="C41" s="3" t="s">
        <v>195</v>
      </c>
      <c r="D41" s="15">
        <v>0.41</v>
      </c>
      <c r="E41" s="3" t="s">
        <v>196</v>
      </c>
      <c r="F41" s="15">
        <v>0.41</v>
      </c>
      <c r="G41" s="12">
        <v>0.61470000000000002</v>
      </c>
    </row>
    <row r="42" spans="2:8" ht="15" customHeight="1" thickBot="1" x14ac:dyDescent="0.3">
      <c r="B42" s="2" t="s">
        <v>197</v>
      </c>
      <c r="C42" s="3"/>
      <c r="D42" s="3"/>
      <c r="E42" s="3"/>
      <c r="F42" s="3"/>
      <c r="G42" s="3"/>
    </row>
    <row r="43" spans="2:8" ht="15" customHeight="1" thickBot="1" x14ac:dyDescent="0.3"/>
    <row r="44" spans="2:8" ht="15" customHeight="1" thickBot="1" x14ac:dyDescent="0.3">
      <c r="B44" s="2" t="s">
        <v>158</v>
      </c>
      <c r="C44" s="17">
        <v>2021</v>
      </c>
      <c r="D44" s="17"/>
      <c r="E44" s="17">
        <v>2022</v>
      </c>
      <c r="F44" s="17"/>
      <c r="G44" s="2" t="s">
        <v>190</v>
      </c>
    </row>
    <row r="45" spans="2:8" ht="15" customHeight="1" thickBot="1" x14ac:dyDescent="0.3">
      <c r="B45" s="2" t="s">
        <v>198</v>
      </c>
      <c r="C45" s="3" t="s">
        <v>199</v>
      </c>
      <c r="D45" s="12">
        <v>0.27200000000000002</v>
      </c>
      <c r="E45" s="3" t="s">
        <v>200</v>
      </c>
      <c r="F45" s="12">
        <v>0.317</v>
      </c>
      <c r="G45" s="12">
        <v>0.88570000000000004</v>
      </c>
    </row>
    <row r="46" spans="2:8" ht="15" customHeight="1" thickBot="1" x14ac:dyDescent="0.3">
      <c r="B46" s="2" t="s">
        <v>201</v>
      </c>
      <c r="C46" s="3" t="s">
        <v>202</v>
      </c>
      <c r="D46" s="12">
        <v>0.23300000000000001</v>
      </c>
      <c r="E46" s="3" t="s">
        <v>203</v>
      </c>
      <c r="F46" s="12">
        <v>0.26400000000000001</v>
      </c>
      <c r="G46" s="12">
        <v>0.82989999999999997</v>
      </c>
    </row>
    <row r="47" spans="2:8" ht="15" customHeight="1" thickBot="1" x14ac:dyDescent="0.3">
      <c r="B47" s="2" t="s">
        <v>204</v>
      </c>
      <c r="C47" s="3">
        <v>833</v>
      </c>
      <c r="D47" s="15">
        <v>0.05</v>
      </c>
      <c r="E47" s="3" t="s">
        <v>205</v>
      </c>
      <c r="F47" s="12">
        <v>0.25700000000000001</v>
      </c>
      <c r="G47" s="12">
        <v>7.2953000000000001</v>
      </c>
    </row>
    <row r="48" spans="2:8" ht="15" customHeight="1" thickBot="1" x14ac:dyDescent="0.3">
      <c r="B48" s="2" t="s">
        <v>206</v>
      </c>
      <c r="C48" s="3" t="s">
        <v>207</v>
      </c>
      <c r="D48" s="12">
        <v>0.193</v>
      </c>
      <c r="E48" s="3" t="s">
        <v>208</v>
      </c>
      <c r="F48" s="12">
        <v>0.16200000000000001</v>
      </c>
      <c r="G48" s="12">
        <v>0.35310000000000002</v>
      </c>
    </row>
    <row r="49" spans="2:12" ht="15" customHeight="1" thickBot="1" x14ac:dyDescent="0.3">
      <c r="B49" s="2" t="s">
        <v>197</v>
      </c>
      <c r="C49" s="3"/>
      <c r="D49" s="3"/>
      <c r="E49" s="3"/>
      <c r="F49" s="3"/>
      <c r="G49" s="3"/>
    </row>
    <row r="50" spans="2:12" ht="15" customHeight="1" thickBot="1" x14ac:dyDescent="0.3"/>
    <row r="51" spans="2:12" ht="249.95" customHeight="1" thickBot="1" x14ac:dyDescent="0.3">
      <c r="B51" s="18" t="s">
        <v>209</v>
      </c>
      <c r="C51" s="18"/>
      <c r="D51" s="18"/>
      <c r="E51" s="18"/>
      <c r="F51" s="18"/>
      <c r="G51" s="18"/>
      <c r="H51" s="18"/>
      <c r="I51" s="18"/>
      <c r="J51" s="18"/>
      <c r="K51" s="18"/>
      <c r="L51" s="18"/>
    </row>
  </sheetData>
  <mergeCells count="5">
    <mergeCell ref="E44:F44"/>
    <mergeCell ref="C44:D44"/>
    <mergeCell ref="B51:L51"/>
    <mergeCell ref="C39:D39"/>
    <mergeCell ref="E39:F39"/>
  </mergeCells>
  <dataValidations count="2">
    <dataValidation type="list" allowBlank="1" showInputMessage="1" showErrorMessage="1" sqref="J23" xr:uid="{87F0E2C3-7B62-4C33-9BD2-F18064477196}">
      <formula1>B4</formula1>
    </dataValidation>
    <dataValidation type="list" allowBlank="1" showInputMessage="1" showErrorMessage="1" sqref="J24" xr:uid="{19F868E8-B440-4045-BED3-E6979A3EF94C}">
      <formula1>A4:A26</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B51F5-5BBE-472E-B7C6-96577B83ED1B}">
  <sheetPr codeName="Sheet1"/>
  <dimension ref="A2:U55"/>
  <sheetViews>
    <sheetView showGridLines="0" workbookViewId="0">
      <selection activeCell="J28" sqref="J28"/>
    </sheetView>
  </sheetViews>
  <sheetFormatPr defaultRowHeight="15" customHeight="1" x14ac:dyDescent="0.25"/>
  <cols>
    <col min="2" max="2" width="24.5703125" bestFit="1" customWidth="1"/>
    <col min="3" max="3" width="10" bestFit="1" customWidth="1"/>
    <col min="4" max="4" width="8.85546875" bestFit="1" customWidth="1"/>
    <col min="5" max="5" width="10" bestFit="1" customWidth="1"/>
    <col min="6" max="8" width="8.85546875" bestFit="1" customWidth="1"/>
    <col min="10" max="10" width="23.140625" bestFit="1" customWidth="1"/>
    <col min="11" max="11" width="7" bestFit="1" customWidth="1"/>
    <col min="12" max="16" width="7.140625" bestFit="1" customWidth="1"/>
    <col min="20" max="20" width="37" bestFit="1" customWidth="1"/>
    <col min="21" max="21" width="23.7109375" bestFit="1" customWidth="1"/>
  </cols>
  <sheetData>
    <row r="2" spans="1:21" ht="15" customHeight="1" x14ac:dyDescent="0.25">
      <c r="B2" s="1" t="s">
        <v>210</v>
      </c>
    </row>
    <row r="3" spans="1:21" ht="15" customHeight="1" thickBot="1" x14ac:dyDescent="0.3"/>
    <row r="4" spans="1:21" ht="15" customHeight="1" thickBot="1" x14ac:dyDescent="0.3">
      <c r="A4" s="14" t="s">
        <v>2</v>
      </c>
      <c r="B4" s="4" t="s">
        <v>211</v>
      </c>
      <c r="C4" s="5">
        <v>2019</v>
      </c>
      <c r="D4" s="5">
        <v>2020</v>
      </c>
      <c r="E4" s="5">
        <v>2021</v>
      </c>
      <c r="F4" s="5">
        <v>2022</v>
      </c>
      <c r="G4" s="5">
        <v>2023</v>
      </c>
      <c r="H4" s="5">
        <v>2024</v>
      </c>
      <c r="T4" s="2" t="s">
        <v>159</v>
      </c>
      <c r="U4" s="6" t="s">
        <v>365</v>
      </c>
    </row>
    <row r="5" spans="1:21" ht="15" customHeight="1" thickBot="1" x14ac:dyDescent="0.3">
      <c r="A5" s="14" t="s">
        <v>10</v>
      </c>
      <c r="B5" s="4" t="s">
        <v>9</v>
      </c>
      <c r="C5" s="6" t="s">
        <v>212</v>
      </c>
      <c r="D5" s="6" t="s">
        <v>213</v>
      </c>
      <c r="E5" s="6" t="s">
        <v>214</v>
      </c>
      <c r="F5" s="6" t="s">
        <v>215</v>
      </c>
      <c r="G5" s="6" t="s">
        <v>216</v>
      </c>
      <c r="H5" s="6" t="s">
        <v>217</v>
      </c>
      <c r="T5" s="2" t="s">
        <v>161</v>
      </c>
      <c r="U5" s="6" t="s">
        <v>366</v>
      </c>
    </row>
    <row r="6" spans="1:21" ht="15" customHeight="1" thickBot="1" x14ac:dyDescent="0.3">
      <c r="A6" s="14" t="s">
        <v>18</v>
      </c>
      <c r="B6" s="4" t="s">
        <v>17</v>
      </c>
      <c r="C6" s="6" t="s">
        <v>218</v>
      </c>
      <c r="D6" s="6" t="s">
        <v>219</v>
      </c>
      <c r="E6" s="6" t="s">
        <v>220</v>
      </c>
      <c r="F6" s="6" t="s">
        <v>221</v>
      </c>
      <c r="G6" s="6" t="s">
        <v>222</v>
      </c>
      <c r="H6" s="6" t="s">
        <v>223</v>
      </c>
      <c r="T6" s="2" t="s">
        <v>163</v>
      </c>
      <c r="U6" s="6" t="s">
        <v>164</v>
      </c>
    </row>
    <row r="7" spans="1:21" ht="15" customHeight="1" thickBot="1" x14ac:dyDescent="0.3">
      <c r="A7" s="14" t="s">
        <v>26</v>
      </c>
      <c r="B7" s="4" t="s">
        <v>25</v>
      </c>
      <c r="C7" s="6" t="s">
        <v>224</v>
      </c>
      <c r="D7" s="6" t="s">
        <v>225</v>
      </c>
      <c r="E7" s="6" t="s">
        <v>226</v>
      </c>
      <c r="F7" s="6" t="s">
        <v>227</v>
      </c>
      <c r="G7" s="6" t="s">
        <v>228</v>
      </c>
      <c r="H7" s="6" t="s">
        <v>229</v>
      </c>
    </row>
    <row r="8" spans="1:21" ht="15" customHeight="1" thickBot="1" x14ac:dyDescent="0.3">
      <c r="A8" s="14" t="s">
        <v>33</v>
      </c>
      <c r="B8" s="4" t="s">
        <v>26</v>
      </c>
      <c r="C8" s="6" t="s">
        <v>230</v>
      </c>
      <c r="D8" s="6" t="s">
        <v>231</v>
      </c>
      <c r="E8" s="6" t="s">
        <v>232</v>
      </c>
      <c r="F8" s="6" t="s">
        <v>233</v>
      </c>
      <c r="G8" s="6" t="s">
        <v>234</v>
      </c>
      <c r="H8" s="6" t="s">
        <v>235</v>
      </c>
      <c r="T8" s="4" t="s">
        <v>165</v>
      </c>
      <c r="U8" s="16">
        <v>2485.63</v>
      </c>
    </row>
    <row r="9" spans="1:21" ht="15" customHeight="1" thickBot="1" x14ac:dyDescent="0.3">
      <c r="A9" s="14" t="s">
        <v>41</v>
      </c>
      <c r="B9" s="4" t="s">
        <v>40</v>
      </c>
      <c r="C9" s="6" t="s">
        <v>236</v>
      </c>
      <c r="D9" s="6" t="s">
        <v>237</v>
      </c>
      <c r="E9" s="6" t="s">
        <v>238</v>
      </c>
      <c r="F9" s="6" t="s">
        <v>239</v>
      </c>
      <c r="G9" s="6" t="s">
        <v>240</v>
      </c>
      <c r="H9" s="6" t="s">
        <v>241</v>
      </c>
      <c r="T9" s="4" t="s">
        <v>166</v>
      </c>
      <c r="U9" s="9">
        <v>3863306</v>
      </c>
    </row>
    <row r="10" spans="1:21" ht="15" customHeight="1" thickBot="1" x14ac:dyDescent="0.3">
      <c r="A10" s="14" t="s">
        <v>47</v>
      </c>
      <c r="B10" s="4" t="s">
        <v>41</v>
      </c>
      <c r="C10" s="6" t="s">
        <v>242</v>
      </c>
      <c r="D10" s="6" t="s">
        <v>243</v>
      </c>
      <c r="E10" s="6" t="s">
        <v>244</v>
      </c>
      <c r="F10" s="6" t="s">
        <v>245</v>
      </c>
      <c r="G10" s="6" t="s">
        <v>246</v>
      </c>
      <c r="H10" s="6" t="s">
        <v>247</v>
      </c>
      <c r="T10" s="4" t="s">
        <v>167</v>
      </c>
      <c r="U10" s="6" t="s">
        <v>367</v>
      </c>
    </row>
    <row r="11" spans="1:21" ht="15" customHeight="1" thickBot="1" x14ac:dyDescent="0.3">
      <c r="A11" s="14" t="s">
        <v>56</v>
      </c>
      <c r="B11" s="4" t="s">
        <v>54</v>
      </c>
      <c r="C11" s="6" t="s">
        <v>248</v>
      </c>
      <c r="D11" s="6" t="s">
        <v>249</v>
      </c>
      <c r="E11" s="6" t="s">
        <v>250</v>
      </c>
      <c r="F11" s="6" t="s">
        <v>251</v>
      </c>
      <c r="G11" s="6" t="s">
        <v>252</v>
      </c>
      <c r="H11" s="6" t="s">
        <v>253</v>
      </c>
      <c r="T11" s="4" t="s">
        <v>169</v>
      </c>
      <c r="U11" s="6">
        <v>1.1200000000000001</v>
      </c>
    </row>
    <row r="12" spans="1:21" ht="15" customHeight="1" thickBot="1" x14ac:dyDescent="0.3">
      <c r="A12" s="14" t="s">
        <v>63</v>
      </c>
      <c r="B12" s="7" t="s">
        <v>55</v>
      </c>
      <c r="C12" s="8"/>
      <c r="D12" s="6"/>
      <c r="E12" s="6"/>
      <c r="F12" s="6"/>
      <c r="G12" s="6"/>
      <c r="H12" s="6"/>
      <c r="T12" s="4" t="s">
        <v>170</v>
      </c>
      <c r="U12" s="6" t="s">
        <v>368</v>
      </c>
    </row>
    <row r="13" spans="1:21" ht="15" customHeight="1" thickBot="1" x14ac:dyDescent="0.3">
      <c r="A13" s="14" t="s">
        <v>70</v>
      </c>
      <c r="T13" s="4" t="s">
        <v>171</v>
      </c>
      <c r="U13" s="6" t="s">
        <v>369</v>
      </c>
    </row>
    <row r="14" spans="1:21" ht="15" customHeight="1" thickBot="1" x14ac:dyDescent="0.3">
      <c r="A14" s="14" t="s">
        <v>100</v>
      </c>
      <c r="B14" s="4" t="s">
        <v>211</v>
      </c>
      <c r="C14" s="5">
        <v>2019</v>
      </c>
      <c r="D14" s="5">
        <v>2020</v>
      </c>
      <c r="E14" s="5">
        <v>2021</v>
      </c>
      <c r="F14" s="5">
        <v>2022</v>
      </c>
      <c r="G14" s="5">
        <v>2023</v>
      </c>
      <c r="H14" s="5">
        <v>2024</v>
      </c>
      <c r="T14" s="4" t="s">
        <v>173</v>
      </c>
      <c r="U14" s="16">
        <v>3777.57</v>
      </c>
    </row>
    <row r="15" spans="1:21" ht="15" customHeight="1" thickBot="1" x14ac:dyDescent="0.3">
      <c r="A15" s="14" t="s">
        <v>77</v>
      </c>
      <c r="B15" s="4" t="s">
        <v>56</v>
      </c>
      <c r="C15" s="6" t="s">
        <v>254</v>
      </c>
      <c r="D15" s="6" t="s">
        <v>255</v>
      </c>
      <c r="E15" s="6" t="s">
        <v>256</v>
      </c>
      <c r="F15" s="6" t="s">
        <v>257</v>
      </c>
      <c r="G15" s="6" t="s">
        <v>258</v>
      </c>
      <c r="H15" s="6" t="s">
        <v>259</v>
      </c>
      <c r="T15" s="4" t="s">
        <v>174</v>
      </c>
      <c r="U15" s="6" t="s">
        <v>370</v>
      </c>
    </row>
    <row r="16" spans="1:21" ht="15" customHeight="1" thickBot="1" x14ac:dyDescent="0.3">
      <c r="A16" s="14" t="s">
        <v>85</v>
      </c>
      <c r="B16" s="4" t="s">
        <v>69</v>
      </c>
      <c r="C16" s="6" t="s">
        <v>260</v>
      </c>
      <c r="D16" s="6" t="s">
        <v>261</v>
      </c>
      <c r="E16" s="6" t="s">
        <v>262</v>
      </c>
      <c r="F16" s="6" t="s">
        <v>263</v>
      </c>
      <c r="G16" s="6" t="s">
        <v>68</v>
      </c>
      <c r="H16" s="6" t="s">
        <v>68</v>
      </c>
      <c r="T16" s="4" t="s">
        <v>176</v>
      </c>
      <c r="U16" s="6">
        <v>38.35</v>
      </c>
    </row>
    <row r="17" spans="1:21" ht="15" customHeight="1" thickBot="1" x14ac:dyDescent="0.3">
      <c r="A17" s="14" t="s">
        <v>92</v>
      </c>
      <c r="B17" s="4" t="s">
        <v>70</v>
      </c>
      <c r="C17" s="6" t="s">
        <v>264</v>
      </c>
      <c r="D17" s="6" t="s">
        <v>265</v>
      </c>
      <c r="E17" s="6" t="s">
        <v>266</v>
      </c>
      <c r="F17" s="6" t="s">
        <v>267</v>
      </c>
      <c r="G17" s="6" t="s">
        <v>268</v>
      </c>
      <c r="H17" s="6" t="s">
        <v>269</v>
      </c>
      <c r="T17" s="4" t="s">
        <v>177</v>
      </c>
      <c r="U17" s="6">
        <v>44.84</v>
      </c>
    </row>
    <row r="18" spans="1:21" ht="15" customHeight="1" thickBot="1" x14ac:dyDescent="0.3">
      <c r="A18" s="14" t="s">
        <v>101</v>
      </c>
      <c r="B18" s="4" t="s">
        <v>100</v>
      </c>
      <c r="C18" s="9">
        <v>280169</v>
      </c>
      <c r="D18" s="9">
        <v>386328</v>
      </c>
      <c r="E18" s="9">
        <v>469723</v>
      </c>
      <c r="F18" s="9">
        <v>526871</v>
      </c>
      <c r="G18" s="6" t="s">
        <v>68</v>
      </c>
      <c r="H18" s="6" t="s">
        <v>68</v>
      </c>
      <c r="T18" s="4" t="s">
        <v>178</v>
      </c>
      <c r="U18" s="6">
        <v>2.33</v>
      </c>
    </row>
    <row r="19" spans="1:21" ht="15" customHeight="1" thickBot="1" x14ac:dyDescent="0.3">
      <c r="A19" s="14" t="s">
        <v>103</v>
      </c>
      <c r="B19" s="4" t="s">
        <v>84</v>
      </c>
      <c r="C19" s="6" t="s">
        <v>270</v>
      </c>
      <c r="D19" s="6" t="s">
        <v>271</v>
      </c>
      <c r="E19" s="6" t="s">
        <v>272</v>
      </c>
      <c r="F19" s="6" t="s">
        <v>273</v>
      </c>
      <c r="G19" s="6" t="s">
        <v>274</v>
      </c>
      <c r="H19" s="6" t="s">
        <v>275</v>
      </c>
    </row>
    <row r="20" spans="1:21" ht="15" customHeight="1" thickBot="1" x14ac:dyDescent="0.3">
      <c r="A20" s="14" t="s">
        <v>111</v>
      </c>
      <c r="B20" s="4" t="s">
        <v>85</v>
      </c>
      <c r="C20" s="6" t="s">
        <v>276</v>
      </c>
      <c r="D20" s="6" t="s">
        <v>277</v>
      </c>
      <c r="E20" s="6" t="s">
        <v>278</v>
      </c>
      <c r="F20" s="6" t="s">
        <v>279</v>
      </c>
      <c r="G20" s="6" t="s">
        <v>280</v>
      </c>
      <c r="H20" s="6" t="s">
        <v>281</v>
      </c>
      <c r="T20" s="4" t="s">
        <v>181</v>
      </c>
      <c r="U20" s="6" t="s">
        <v>371</v>
      </c>
    </row>
    <row r="21" spans="1:21" ht="15" customHeight="1" thickBot="1" x14ac:dyDescent="0.3">
      <c r="A21" s="14" t="s">
        <v>2</v>
      </c>
      <c r="B21" s="4" t="s">
        <v>92</v>
      </c>
      <c r="C21" s="6" t="s">
        <v>282</v>
      </c>
      <c r="D21" s="6" t="s">
        <v>283</v>
      </c>
      <c r="E21" s="6" t="s">
        <v>97</v>
      </c>
      <c r="F21" s="6" t="s">
        <v>284</v>
      </c>
      <c r="G21" s="6" t="s">
        <v>285</v>
      </c>
      <c r="H21" s="6" t="s">
        <v>286</v>
      </c>
      <c r="T21" s="4" t="s">
        <v>182</v>
      </c>
      <c r="U21" s="6" t="s">
        <v>372</v>
      </c>
    </row>
    <row r="22" spans="1:21" ht="15" customHeight="1" thickBot="1" x14ac:dyDescent="0.3">
      <c r="A22" s="14" t="s">
        <v>10</v>
      </c>
      <c r="B22" s="7" t="s">
        <v>99</v>
      </c>
      <c r="C22" s="8"/>
      <c r="D22" s="6"/>
      <c r="E22" s="6"/>
      <c r="F22" s="6"/>
      <c r="G22" s="6"/>
      <c r="H22" s="6"/>
      <c r="T22" s="4" t="s">
        <v>183</v>
      </c>
      <c r="U22" s="6">
        <v>1.1299999999999999</v>
      </c>
    </row>
    <row r="23" spans="1:21" ht="15" customHeight="1" thickBot="1" x14ac:dyDescent="0.3">
      <c r="A23" s="14" t="s">
        <v>18</v>
      </c>
      <c r="J23" s="1" t="s">
        <v>211</v>
      </c>
      <c r="K23">
        <f>VLOOKUP(J23,B4:H36,2,FALSE)</f>
        <v>2019</v>
      </c>
      <c r="L23">
        <f>VLOOKUP(J23,B4:H36,3,FALSE)</f>
        <v>2020</v>
      </c>
      <c r="M23">
        <f>VLOOKUP(J23,B4:H36,4,FALSE)</f>
        <v>2021</v>
      </c>
      <c r="N23">
        <f>VLOOKUP(J23,B4:H36,5,FALSE)</f>
        <v>2022</v>
      </c>
      <c r="O23">
        <f>VLOOKUP(J23,B4:H36,6,FALSE)</f>
        <v>2023</v>
      </c>
      <c r="P23">
        <f>VLOOKUP(J23,B4:H36,7,FALSE)</f>
        <v>2024</v>
      </c>
      <c r="T23" s="4" t="s">
        <v>184</v>
      </c>
      <c r="U23" s="13">
        <v>8.0000000000000002E-3</v>
      </c>
    </row>
    <row r="24" spans="1:21" ht="15" customHeight="1" thickBot="1" x14ac:dyDescent="0.3">
      <c r="A24" s="14" t="s">
        <v>26</v>
      </c>
      <c r="B24" s="4" t="s">
        <v>211</v>
      </c>
      <c r="C24" s="5">
        <v>2019</v>
      </c>
      <c r="D24" s="5">
        <v>2020</v>
      </c>
      <c r="E24" s="5">
        <v>2021</v>
      </c>
      <c r="F24" s="5">
        <v>2022</v>
      </c>
      <c r="G24" s="5">
        <v>2023</v>
      </c>
      <c r="H24" s="5">
        <v>2024</v>
      </c>
      <c r="J24" s="1" t="s">
        <v>2</v>
      </c>
      <c r="K24">
        <f>VALUE(SUBSTITUTE(SUBSTITUTE(SUBSTITUTE(SUBSTITUTE(VLOOKUP(J24,B4:H36,2,FALSE)," ",""),"x",""),"%",""),",","."))</f>
        <v>280522</v>
      </c>
      <c r="L24">
        <f>VALUE(SUBSTITUTE(SUBSTITUTE(SUBSTITUTE(SUBSTITUTE(VLOOKUP(J24,B4:H36,3,FALSE)," ",""),"x",""),"%",""),",","."))</f>
        <v>386064</v>
      </c>
      <c r="M24">
        <f>VALUE(SUBSTITUTE(SUBSTITUTE(SUBSTITUTE(SUBSTITUTE(VLOOKUP(J24,B4:H36,4,FALSE)," ",""),"x",""),"%",""),",","."))</f>
        <v>469822</v>
      </c>
      <c r="N24">
        <f>VALUE(SUBSTITUTE(SUBSTITUTE(SUBSTITUTE(SUBSTITUTE(VLOOKUP(J24,B4:H36,5,FALSE)," ",""),"x",""),"%",""),",","."))</f>
        <v>526528</v>
      </c>
      <c r="O24">
        <f>VALUE(SUBSTITUTE(SUBSTITUTE(SUBSTITUTE(SUBSTITUTE(VLOOKUP(J24,B4:H36,6,FALSE)," ",""),"x",""),"%",""),",","."))</f>
        <v>616688</v>
      </c>
      <c r="P24">
        <f>VALUE(SUBSTITUTE(SUBSTITUTE(SUBSTITUTE(SUBSTITUTE(VLOOKUP(J24,B4:H36,7,FALSE)," ",""),"x",""),"%",""),",","."))</f>
        <v>713634</v>
      </c>
    </row>
    <row r="25" spans="1:21" ht="15" customHeight="1" thickBot="1" x14ac:dyDescent="0.3">
      <c r="A25" s="14" t="s">
        <v>33</v>
      </c>
      <c r="B25" s="4" t="s">
        <v>102</v>
      </c>
      <c r="C25" s="6" t="s">
        <v>68</v>
      </c>
      <c r="D25" s="6" t="s">
        <v>68</v>
      </c>
      <c r="E25" s="6" t="s">
        <v>68</v>
      </c>
      <c r="F25" s="6" t="s">
        <v>68</v>
      </c>
      <c r="G25" s="6" t="s">
        <v>68</v>
      </c>
      <c r="H25" s="6" t="s">
        <v>68</v>
      </c>
      <c r="J25" t="s">
        <v>189</v>
      </c>
      <c r="L25" s="11">
        <f>(L24-K24)/K24</f>
        <v>0.37623430604373276</v>
      </c>
      <c r="M25" s="11">
        <f>(M24-L24)/L24</f>
        <v>0.21695366571345684</v>
      </c>
      <c r="N25" s="11">
        <f>(N24-M24)/M24</f>
        <v>0.12069677452311726</v>
      </c>
      <c r="O25" s="11">
        <f>(O24-N24)/N24</f>
        <v>0.17123495806490824</v>
      </c>
      <c r="P25" s="11">
        <f>(P24-O24)/O24</f>
        <v>0.1572042913110033</v>
      </c>
      <c r="T25" s="4" t="s">
        <v>187</v>
      </c>
      <c r="U25" s="6" t="s">
        <v>373</v>
      </c>
    </row>
    <row r="26" spans="1:21" ht="15" customHeight="1" thickBot="1" x14ac:dyDescent="0.3">
      <c r="A26" s="14" t="s">
        <v>41</v>
      </c>
      <c r="B26" s="4" t="s">
        <v>110</v>
      </c>
      <c r="C26" s="6" t="s">
        <v>287</v>
      </c>
      <c r="D26" s="6" t="s">
        <v>288</v>
      </c>
      <c r="E26" s="6" t="s">
        <v>289</v>
      </c>
      <c r="F26" s="6" t="s">
        <v>290</v>
      </c>
      <c r="G26" s="6" t="s">
        <v>291</v>
      </c>
      <c r="H26" s="6" t="s">
        <v>292</v>
      </c>
      <c r="T26" s="4" t="s">
        <v>188</v>
      </c>
      <c r="U26" s="6" t="s">
        <v>374</v>
      </c>
    </row>
    <row r="27" spans="1:21" ht="15" customHeight="1" thickBot="1" x14ac:dyDescent="0.3">
      <c r="B27" s="4" t="s">
        <v>111</v>
      </c>
      <c r="C27" s="6" t="s">
        <v>293</v>
      </c>
      <c r="D27" s="6" t="s">
        <v>114</v>
      </c>
      <c r="E27" s="6" t="s">
        <v>294</v>
      </c>
      <c r="F27" s="6" t="s">
        <v>295</v>
      </c>
      <c r="G27" s="6" t="s">
        <v>296</v>
      </c>
      <c r="H27" s="6" t="s">
        <v>297</v>
      </c>
    </row>
    <row r="28" spans="1:21" ht="15" customHeight="1" thickBot="1" x14ac:dyDescent="0.3">
      <c r="B28" s="7" t="s">
        <v>55</v>
      </c>
      <c r="C28" s="8"/>
      <c r="D28" s="6"/>
      <c r="E28" s="6"/>
      <c r="F28" s="6"/>
      <c r="G28" s="6"/>
      <c r="H28" s="6"/>
    </row>
    <row r="29" spans="1:21" ht="15" customHeight="1" thickBot="1" x14ac:dyDescent="0.3"/>
    <row r="30" spans="1:21" ht="15" customHeight="1" thickBot="1" x14ac:dyDescent="0.3">
      <c r="B30" s="4" t="s">
        <v>211</v>
      </c>
      <c r="C30" s="5" t="s">
        <v>298</v>
      </c>
      <c r="D30" s="5" t="s">
        <v>299</v>
      </c>
      <c r="E30" s="5" t="s">
        <v>300</v>
      </c>
      <c r="F30" s="5" t="s">
        <v>118</v>
      </c>
      <c r="G30" s="5" t="s">
        <v>119</v>
      </c>
      <c r="H30" s="5" t="s">
        <v>120</v>
      </c>
    </row>
    <row r="31" spans="1:21" ht="15" customHeight="1" thickBot="1" x14ac:dyDescent="0.3">
      <c r="B31" s="4" t="s">
        <v>9</v>
      </c>
      <c r="C31" s="6" t="s">
        <v>301</v>
      </c>
      <c r="D31" s="6" t="s">
        <v>302</v>
      </c>
      <c r="E31" s="6" t="s">
        <v>303</v>
      </c>
      <c r="F31" s="6" t="s">
        <v>304</v>
      </c>
      <c r="G31" s="6" t="s">
        <v>305</v>
      </c>
      <c r="H31" s="6" t="s">
        <v>306</v>
      </c>
    </row>
    <row r="32" spans="1:21" ht="15" customHeight="1" thickBot="1" x14ac:dyDescent="0.3">
      <c r="B32" s="4" t="s">
        <v>17</v>
      </c>
      <c r="C32" s="6" t="s">
        <v>307</v>
      </c>
      <c r="D32" s="6" t="s">
        <v>308</v>
      </c>
      <c r="E32" s="6" t="s">
        <v>309</v>
      </c>
      <c r="F32" s="6" t="s">
        <v>310</v>
      </c>
      <c r="G32" s="6" t="s">
        <v>311</v>
      </c>
      <c r="H32" s="6" t="s">
        <v>312</v>
      </c>
    </row>
    <row r="33" spans="2:8" ht="15" customHeight="1" thickBot="1" x14ac:dyDescent="0.3">
      <c r="B33" s="4" t="s">
        <v>25</v>
      </c>
      <c r="C33" s="6" t="s">
        <v>313</v>
      </c>
      <c r="D33" s="6" t="s">
        <v>314</v>
      </c>
      <c r="E33" s="6" t="s">
        <v>315</v>
      </c>
      <c r="F33" s="6" t="s">
        <v>316</v>
      </c>
      <c r="G33" s="6" t="s">
        <v>317</v>
      </c>
      <c r="H33" s="6" t="s">
        <v>318</v>
      </c>
    </row>
    <row r="34" spans="2:8" ht="15" customHeight="1" thickBot="1" x14ac:dyDescent="0.3">
      <c r="B34" s="4" t="s">
        <v>26</v>
      </c>
      <c r="C34" s="6" t="s">
        <v>319</v>
      </c>
      <c r="D34" s="6" t="s">
        <v>320</v>
      </c>
      <c r="E34" s="6" t="s">
        <v>321</v>
      </c>
      <c r="F34" s="6" t="s">
        <v>322</v>
      </c>
      <c r="G34" s="6" t="s">
        <v>323</v>
      </c>
      <c r="H34" s="6" t="s">
        <v>324</v>
      </c>
    </row>
    <row r="35" spans="2:8" ht="15" customHeight="1" thickBot="1" x14ac:dyDescent="0.3">
      <c r="B35" s="4" t="s">
        <v>40</v>
      </c>
      <c r="C35" s="6" t="s">
        <v>325</v>
      </c>
      <c r="D35" s="6" t="s">
        <v>326</v>
      </c>
      <c r="E35" s="6" t="s">
        <v>327</v>
      </c>
      <c r="F35" s="6" t="s">
        <v>328</v>
      </c>
      <c r="G35" s="6" t="s">
        <v>329</v>
      </c>
      <c r="H35" s="6" t="s">
        <v>330</v>
      </c>
    </row>
    <row r="36" spans="2:8" ht="15" customHeight="1" thickBot="1" x14ac:dyDescent="0.3">
      <c r="B36" s="4" t="s">
        <v>41</v>
      </c>
      <c r="C36" s="6" t="s">
        <v>331</v>
      </c>
      <c r="D36" s="6" t="s">
        <v>332</v>
      </c>
      <c r="E36" s="6" t="s">
        <v>333</v>
      </c>
      <c r="F36" s="6" t="s">
        <v>334</v>
      </c>
      <c r="G36" s="6" t="s">
        <v>335</v>
      </c>
      <c r="H36" s="6" t="s">
        <v>336</v>
      </c>
    </row>
    <row r="37" spans="2:8" ht="15" customHeight="1" thickBot="1" x14ac:dyDescent="0.3">
      <c r="B37" s="7" t="s">
        <v>55</v>
      </c>
      <c r="C37" s="8"/>
      <c r="D37" s="6"/>
      <c r="E37" s="6"/>
      <c r="F37" s="6"/>
      <c r="G37" s="6"/>
      <c r="H37" s="6"/>
    </row>
    <row r="38" spans="2:8" ht="15" customHeight="1" thickBot="1" x14ac:dyDescent="0.3"/>
    <row r="39" spans="2:8" ht="15" customHeight="1" thickBot="1" x14ac:dyDescent="0.3">
      <c r="B39" s="2" t="s">
        <v>157</v>
      </c>
      <c r="C39" s="17">
        <v>2020</v>
      </c>
      <c r="D39" s="17"/>
      <c r="E39" s="17">
        <v>2021</v>
      </c>
      <c r="F39" s="17"/>
      <c r="G39" s="2" t="s">
        <v>190</v>
      </c>
    </row>
    <row r="40" spans="2:8" ht="15" customHeight="1" thickBot="1" x14ac:dyDescent="0.3">
      <c r="B40" s="2" t="s">
        <v>337</v>
      </c>
      <c r="C40" s="3" t="s">
        <v>338</v>
      </c>
      <c r="D40" s="12">
        <v>0.51100000000000001</v>
      </c>
      <c r="E40" s="3" t="s">
        <v>339</v>
      </c>
      <c r="F40" s="12">
        <v>0.47299999999999998</v>
      </c>
      <c r="G40" s="12">
        <v>0.12529999999999999</v>
      </c>
    </row>
    <row r="41" spans="2:8" ht="15" customHeight="1" thickBot="1" x14ac:dyDescent="0.3">
      <c r="B41" s="2" t="s">
        <v>340</v>
      </c>
      <c r="C41" s="3" t="s">
        <v>341</v>
      </c>
      <c r="D41" s="12">
        <v>0.20799999999999999</v>
      </c>
      <c r="E41" s="3" t="s">
        <v>342</v>
      </c>
      <c r="F41" s="15">
        <v>0.22</v>
      </c>
      <c r="G41" s="12">
        <v>0.28470000000000001</v>
      </c>
    </row>
    <row r="42" spans="2:8" ht="15" customHeight="1" thickBot="1" x14ac:dyDescent="0.3">
      <c r="B42" s="2" t="s">
        <v>343</v>
      </c>
      <c r="C42" s="3" t="s">
        <v>344</v>
      </c>
      <c r="D42" s="12">
        <v>0.11799999999999999</v>
      </c>
      <c r="E42" s="3" t="s">
        <v>345</v>
      </c>
      <c r="F42" s="12">
        <v>0.13200000000000001</v>
      </c>
      <c r="G42" s="12">
        <v>0.371</v>
      </c>
    </row>
    <row r="43" spans="2:8" ht="15" customHeight="1" thickBot="1" x14ac:dyDescent="0.3">
      <c r="B43" s="2" t="s">
        <v>346</v>
      </c>
      <c r="C43" s="3" t="s">
        <v>347</v>
      </c>
      <c r="D43" s="12">
        <v>6.5000000000000002E-2</v>
      </c>
      <c r="E43" s="3" t="s">
        <v>348</v>
      </c>
      <c r="F43" s="12">
        <v>6.8000000000000005E-2</v>
      </c>
      <c r="G43" s="12">
        <v>0.26029999999999998</v>
      </c>
    </row>
    <row r="44" spans="2:8" ht="15" customHeight="1" thickBot="1" x14ac:dyDescent="0.3">
      <c r="B44" s="2" t="s">
        <v>349</v>
      </c>
      <c r="C44" s="3" t="s">
        <v>68</v>
      </c>
      <c r="D44" s="3" t="s">
        <v>68</v>
      </c>
      <c r="E44" s="3" t="s">
        <v>350</v>
      </c>
      <c r="F44" s="12">
        <v>6.6000000000000003E-2</v>
      </c>
      <c r="G44" s="3" t="s">
        <v>68</v>
      </c>
    </row>
    <row r="45" spans="2:8" ht="15" customHeight="1" thickBot="1" x14ac:dyDescent="0.3">
      <c r="B45" s="2" t="s">
        <v>351</v>
      </c>
      <c r="C45" s="3" t="s">
        <v>352</v>
      </c>
      <c r="D45" s="12">
        <v>4.2000000000000003E-2</v>
      </c>
      <c r="E45" s="3" t="s">
        <v>353</v>
      </c>
      <c r="F45" s="12">
        <v>3.5999999999999997E-2</v>
      </c>
      <c r="G45" s="12">
        <v>5.2299999999999999E-2</v>
      </c>
    </row>
    <row r="46" spans="2:8" ht="15" customHeight="1" thickBot="1" x14ac:dyDescent="0.3">
      <c r="B46" s="2" t="s">
        <v>354</v>
      </c>
      <c r="C46" s="3" t="s">
        <v>355</v>
      </c>
      <c r="D46" s="12">
        <v>5.6000000000000001E-2</v>
      </c>
      <c r="E46" s="3" t="s">
        <v>356</v>
      </c>
      <c r="F46" s="12">
        <v>5.0000000000000001E-3</v>
      </c>
      <c r="G46" s="12">
        <v>-0.89859999999999995</v>
      </c>
    </row>
    <row r="47" spans="2:8" ht="15" customHeight="1" thickBot="1" x14ac:dyDescent="0.3">
      <c r="B47" s="2" t="s">
        <v>197</v>
      </c>
      <c r="C47" s="3"/>
      <c r="D47" s="3"/>
      <c r="E47" s="3"/>
      <c r="F47" s="3"/>
      <c r="G47" s="3"/>
    </row>
    <row r="48" spans="2:8" ht="15" customHeight="1" thickBot="1" x14ac:dyDescent="0.3"/>
    <row r="49" spans="2:12" ht="15" customHeight="1" thickBot="1" x14ac:dyDescent="0.3">
      <c r="B49" s="2" t="s">
        <v>158</v>
      </c>
      <c r="C49" s="17">
        <v>2020</v>
      </c>
      <c r="D49" s="17"/>
      <c r="E49" s="17">
        <v>2021</v>
      </c>
      <c r="F49" s="17"/>
      <c r="G49" s="2" t="s">
        <v>190</v>
      </c>
    </row>
    <row r="50" spans="2:12" ht="15" customHeight="1" thickBot="1" x14ac:dyDescent="0.3">
      <c r="B50" s="2" t="s">
        <v>357</v>
      </c>
      <c r="C50" s="3" t="s">
        <v>358</v>
      </c>
      <c r="D50" s="12">
        <v>0.61199999999999999</v>
      </c>
      <c r="E50" s="3" t="s">
        <v>359</v>
      </c>
      <c r="F50" s="12">
        <v>0.59599999999999997</v>
      </c>
      <c r="G50" s="12">
        <v>0.18429999999999999</v>
      </c>
    </row>
    <row r="51" spans="2:12" ht="15" customHeight="1" thickBot="1" x14ac:dyDescent="0.3">
      <c r="B51" s="2" t="s">
        <v>360</v>
      </c>
      <c r="C51" s="3" t="s">
        <v>361</v>
      </c>
      <c r="D51" s="15">
        <v>0.27</v>
      </c>
      <c r="E51" s="3" t="s">
        <v>362</v>
      </c>
      <c r="F51" s="12">
        <v>0.27200000000000002</v>
      </c>
      <c r="G51" s="12">
        <v>0.22389999999999999</v>
      </c>
    </row>
    <row r="52" spans="2:12" ht="15" customHeight="1" thickBot="1" x14ac:dyDescent="0.3">
      <c r="B52" s="2" t="s">
        <v>363</v>
      </c>
      <c r="C52" s="3" t="s">
        <v>344</v>
      </c>
      <c r="D52" s="12">
        <v>0.11799999999999999</v>
      </c>
      <c r="E52" s="3" t="s">
        <v>345</v>
      </c>
      <c r="F52" s="12">
        <v>0.13200000000000001</v>
      </c>
      <c r="G52" s="12">
        <v>0.371</v>
      </c>
    </row>
    <row r="53" spans="2:12" ht="15" customHeight="1" thickBot="1" x14ac:dyDescent="0.3">
      <c r="B53" s="2" t="s">
        <v>197</v>
      </c>
      <c r="C53" s="3"/>
      <c r="D53" s="3"/>
      <c r="E53" s="3"/>
      <c r="F53" s="3"/>
      <c r="G53" s="3"/>
    </row>
    <row r="54" spans="2:12" ht="15" customHeight="1" thickBot="1" x14ac:dyDescent="0.3"/>
    <row r="55" spans="2:12" ht="249.95" customHeight="1" thickBot="1" x14ac:dyDescent="0.3">
      <c r="B55" s="18" t="s">
        <v>364</v>
      </c>
      <c r="C55" s="18"/>
      <c r="D55" s="18"/>
      <c r="E55" s="18"/>
      <c r="F55" s="18"/>
      <c r="G55" s="18"/>
      <c r="H55" s="18"/>
      <c r="I55" s="18"/>
      <c r="J55" s="18"/>
      <c r="K55" s="18"/>
      <c r="L55" s="18"/>
    </row>
  </sheetData>
  <mergeCells count="5">
    <mergeCell ref="E39:F39"/>
    <mergeCell ref="C39:D39"/>
    <mergeCell ref="E49:F49"/>
    <mergeCell ref="C49:D49"/>
    <mergeCell ref="B55:L55"/>
  </mergeCells>
  <dataValidations count="2">
    <dataValidation type="list" allowBlank="1" showInputMessage="1" showErrorMessage="1" sqref="J23" xr:uid="{E8AD2954-0B7A-4BD9-BBEE-B6CDC68D774C}">
      <formula1>B4</formula1>
    </dataValidation>
    <dataValidation type="list" allowBlank="1" showInputMessage="1" showErrorMessage="1" sqref="J24" xr:uid="{09D96A60-086B-4E72-925A-9653B92A7F8E}">
      <formula1>A4:A26</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FA710-656D-4588-873F-166A141F1358}">
  <sheetPr codeName="Sheet3"/>
  <dimension ref="A2:U54"/>
  <sheetViews>
    <sheetView showGridLines="0" tabSelected="1" workbookViewId="0">
      <selection activeCell="J30" sqref="J30"/>
    </sheetView>
  </sheetViews>
  <sheetFormatPr defaultRowHeight="15" customHeight="1" x14ac:dyDescent="0.25"/>
  <cols>
    <col min="2" max="2" width="37.5703125" bestFit="1" customWidth="1"/>
    <col min="3" max="3" width="8" bestFit="1" customWidth="1"/>
    <col min="4" max="4" width="7.85546875" bestFit="1" customWidth="1"/>
    <col min="5" max="5" width="8" bestFit="1" customWidth="1"/>
    <col min="6" max="6" width="7.85546875" bestFit="1" customWidth="1"/>
    <col min="7" max="7" width="8.140625" bestFit="1" customWidth="1"/>
    <col min="8" max="8" width="7.85546875" bestFit="1" customWidth="1"/>
    <col min="10" max="10" width="23.140625" bestFit="1" customWidth="1"/>
    <col min="11" max="11" width="5" bestFit="1" customWidth="1"/>
    <col min="12" max="15" width="7.140625" bestFit="1" customWidth="1"/>
    <col min="16" max="16" width="6.140625" bestFit="1" customWidth="1"/>
    <col min="20" max="20" width="37" bestFit="1" customWidth="1"/>
    <col min="21" max="21" width="22.7109375" bestFit="1" customWidth="1"/>
  </cols>
  <sheetData>
    <row r="2" spans="1:21" ht="15" customHeight="1" x14ac:dyDescent="0.25">
      <c r="B2" s="1" t="s">
        <v>375</v>
      </c>
    </row>
    <row r="3" spans="1:21" ht="15" customHeight="1" thickBot="1" x14ac:dyDescent="0.3"/>
    <row r="4" spans="1:21" ht="15" customHeight="1" thickBot="1" x14ac:dyDescent="0.3">
      <c r="A4" s="14" t="s">
        <v>2</v>
      </c>
      <c r="B4" s="4" t="s">
        <v>211</v>
      </c>
      <c r="C4" s="5">
        <v>2019</v>
      </c>
      <c r="D4" s="5">
        <v>2020</v>
      </c>
      <c r="E4" s="5">
        <v>2021</v>
      </c>
      <c r="F4" s="5">
        <v>2022</v>
      </c>
      <c r="G4" s="5">
        <v>2023</v>
      </c>
      <c r="H4" s="5">
        <v>2024</v>
      </c>
      <c r="T4" s="2" t="s">
        <v>159</v>
      </c>
      <c r="U4" s="6" t="s">
        <v>160</v>
      </c>
    </row>
    <row r="5" spans="1:21" ht="15" customHeight="1" thickBot="1" x14ac:dyDescent="0.3">
      <c r="A5" s="14" t="s">
        <v>10</v>
      </c>
      <c r="B5" s="4" t="s">
        <v>9</v>
      </c>
      <c r="C5" s="6" t="s">
        <v>376</v>
      </c>
      <c r="D5" s="6" t="s">
        <v>377</v>
      </c>
      <c r="E5" s="6" t="s">
        <v>378</v>
      </c>
      <c r="F5" s="6" t="s">
        <v>454</v>
      </c>
      <c r="G5" s="6" t="s">
        <v>455</v>
      </c>
      <c r="H5" s="6" t="s">
        <v>456</v>
      </c>
      <c r="T5" s="2" t="s">
        <v>161</v>
      </c>
      <c r="U5" s="6" t="s">
        <v>162</v>
      </c>
    </row>
    <row r="6" spans="1:21" ht="15" customHeight="1" thickBot="1" x14ac:dyDescent="0.3">
      <c r="A6" s="14" t="s">
        <v>18</v>
      </c>
      <c r="B6" s="4" t="s">
        <v>17</v>
      </c>
      <c r="C6" s="6" t="s">
        <v>379</v>
      </c>
      <c r="D6" s="6" t="s">
        <v>380</v>
      </c>
      <c r="E6" s="6" t="s">
        <v>381</v>
      </c>
      <c r="F6" s="6" t="s">
        <v>457</v>
      </c>
      <c r="G6" s="6" t="s">
        <v>458</v>
      </c>
      <c r="H6" s="6" t="s">
        <v>459</v>
      </c>
      <c r="T6" s="2" t="s">
        <v>163</v>
      </c>
      <c r="U6" s="6" t="s">
        <v>524</v>
      </c>
    </row>
    <row r="7" spans="1:21" ht="15" customHeight="1" thickBot="1" x14ac:dyDescent="0.3">
      <c r="A7" s="14" t="s">
        <v>26</v>
      </c>
      <c r="B7" s="4" t="s">
        <v>25</v>
      </c>
      <c r="C7" s="6">
        <v>840</v>
      </c>
      <c r="D7" s="6" t="s">
        <v>382</v>
      </c>
      <c r="E7" s="6" t="s">
        <v>383</v>
      </c>
      <c r="F7" s="6" t="s">
        <v>460</v>
      </c>
      <c r="G7" s="6" t="s">
        <v>461</v>
      </c>
      <c r="H7" s="6" t="s">
        <v>462</v>
      </c>
    </row>
    <row r="8" spans="1:21" ht="15" customHeight="1" thickBot="1" x14ac:dyDescent="0.3">
      <c r="A8" s="14" t="s">
        <v>33</v>
      </c>
      <c r="B8" s="4" t="s">
        <v>26</v>
      </c>
      <c r="C8" s="6" t="s">
        <v>384</v>
      </c>
      <c r="D8" s="6" t="s">
        <v>385</v>
      </c>
      <c r="E8" s="6" t="s">
        <v>386</v>
      </c>
      <c r="F8" s="6" t="s">
        <v>463</v>
      </c>
      <c r="G8" s="6" t="s">
        <v>464</v>
      </c>
      <c r="H8" s="6" t="s">
        <v>465</v>
      </c>
      <c r="T8" s="4" t="s">
        <v>165</v>
      </c>
      <c r="U8" s="6">
        <v>94.24</v>
      </c>
    </row>
    <row r="9" spans="1:21" ht="15" customHeight="1" thickBot="1" x14ac:dyDescent="0.3">
      <c r="A9" s="14" t="s">
        <v>41</v>
      </c>
      <c r="B9" s="4" t="s">
        <v>40</v>
      </c>
      <c r="C9" s="6">
        <v>341</v>
      </c>
      <c r="D9" s="6" t="s">
        <v>388</v>
      </c>
      <c r="E9" s="6" t="s">
        <v>389</v>
      </c>
      <c r="F9" s="6" t="s">
        <v>466</v>
      </c>
      <c r="G9" s="6" t="s">
        <v>467</v>
      </c>
      <c r="H9" s="6" t="s">
        <v>468</v>
      </c>
      <c r="T9" s="4" t="s">
        <v>166</v>
      </c>
      <c r="U9" s="9">
        <v>108573915</v>
      </c>
    </row>
    <row r="10" spans="1:21" ht="15" customHeight="1" thickBot="1" x14ac:dyDescent="0.3">
      <c r="A10" s="14" t="s">
        <v>47</v>
      </c>
      <c r="B10" s="4" t="s">
        <v>41</v>
      </c>
      <c r="C10" s="6" t="s">
        <v>390</v>
      </c>
      <c r="D10" s="6" t="s">
        <v>391</v>
      </c>
      <c r="E10" s="6" t="s">
        <v>392</v>
      </c>
      <c r="F10" s="6" t="s">
        <v>469</v>
      </c>
      <c r="G10" s="6" t="s">
        <v>393</v>
      </c>
      <c r="H10" s="6" t="s">
        <v>470</v>
      </c>
      <c r="T10" s="4" t="s">
        <v>167</v>
      </c>
      <c r="U10" s="6" t="s">
        <v>525</v>
      </c>
    </row>
    <row r="11" spans="1:21" ht="15" customHeight="1" thickBot="1" x14ac:dyDescent="0.3">
      <c r="A11" s="14" t="s">
        <v>56</v>
      </c>
      <c r="B11" s="4" t="s">
        <v>54</v>
      </c>
      <c r="C11" s="6" t="s">
        <v>394</v>
      </c>
      <c r="D11" s="6" t="s">
        <v>395</v>
      </c>
      <c r="E11" s="6" t="s">
        <v>396</v>
      </c>
      <c r="F11" s="6" t="s">
        <v>471</v>
      </c>
      <c r="G11" s="6" t="s">
        <v>472</v>
      </c>
      <c r="H11" s="6" t="s">
        <v>473</v>
      </c>
      <c r="T11" s="4" t="s">
        <v>169</v>
      </c>
      <c r="U11" s="6">
        <v>1.81</v>
      </c>
    </row>
    <row r="12" spans="1:21" ht="15" customHeight="1" thickBot="1" x14ac:dyDescent="0.3">
      <c r="A12" s="14" t="s">
        <v>63</v>
      </c>
      <c r="B12" s="7" t="s">
        <v>55</v>
      </c>
      <c r="C12" s="8"/>
      <c r="D12" s="6"/>
      <c r="E12" s="6"/>
      <c r="F12" s="6"/>
      <c r="G12" s="6"/>
      <c r="H12" s="6"/>
      <c r="T12" s="4" t="s">
        <v>170</v>
      </c>
      <c r="U12" s="6" t="s">
        <v>514</v>
      </c>
    </row>
    <row r="13" spans="1:21" ht="15" customHeight="1" thickBot="1" x14ac:dyDescent="0.3">
      <c r="A13" s="14" t="s">
        <v>70</v>
      </c>
      <c r="T13" s="4" t="s">
        <v>171</v>
      </c>
      <c r="U13" s="6" t="s">
        <v>369</v>
      </c>
    </row>
    <row r="14" spans="1:21" ht="15" customHeight="1" thickBot="1" x14ac:dyDescent="0.3">
      <c r="A14" s="14" t="s">
        <v>100</v>
      </c>
      <c r="B14" s="4" t="s">
        <v>211</v>
      </c>
      <c r="C14" s="5">
        <v>2019</v>
      </c>
      <c r="D14" s="5">
        <v>2020</v>
      </c>
      <c r="E14" s="5">
        <v>2021</v>
      </c>
      <c r="F14" s="5">
        <v>2022</v>
      </c>
      <c r="G14" s="5">
        <v>2023</v>
      </c>
      <c r="H14" s="5">
        <v>2024</v>
      </c>
      <c r="T14" s="4" t="s">
        <v>173</v>
      </c>
      <c r="U14" s="6">
        <v>136.80000000000001</v>
      </c>
    </row>
    <row r="15" spans="1:21" ht="15" customHeight="1" thickBot="1" x14ac:dyDescent="0.3">
      <c r="A15" s="14" t="s">
        <v>77</v>
      </c>
      <c r="B15" s="4" t="s">
        <v>56</v>
      </c>
      <c r="C15" s="6" t="s">
        <v>397</v>
      </c>
      <c r="D15" s="6" t="s">
        <v>398</v>
      </c>
      <c r="E15" s="6" t="s">
        <v>399</v>
      </c>
      <c r="F15" s="6" t="s">
        <v>474</v>
      </c>
      <c r="G15" s="6" t="s">
        <v>475</v>
      </c>
      <c r="H15" s="6" t="s">
        <v>476</v>
      </c>
      <c r="T15" s="4" t="s">
        <v>174</v>
      </c>
      <c r="U15" s="6" t="s">
        <v>515</v>
      </c>
    </row>
    <row r="16" spans="1:21" ht="15" customHeight="1" thickBot="1" x14ac:dyDescent="0.3">
      <c r="A16" s="14" t="s">
        <v>85</v>
      </c>
      <c r="B16" s="4" t="s">
        <v>69</v>
      </c>
      <c r="C16" s="6" t="s">
        <v>400</v>
      </c>
      <c r="D16" s="6" t="s">
        <v>401</v>
      </c>
      <c r="E16" s="6" t="s">
        <v>402</v>
      </c>
      <c r="F16" s="6" t="s">
        <v>477</v>
      </c>
      <c r="G16" s="6" t="s">
        <v>68</v>
      </c>
      <c r="H16" s="6" t="s">
        <v>68</v>
      </c>
      <c r="T16" s="4" t="s">
        <v>176</v>
      </c>
      <c r="U16" s="6">
        <v>32.81</v>
      </c>
    </row>
    <row r="17" spans="1:21" ht="15" customHeight="1" thickBot="1" x14ac:dyDescent="0.3">
      <c r="A17" s="14" t="s">
        <v>92</v>
      </c>
      <c r="B17" s="4" t="s">
        <v>70</v>
      </c>
      <c r="C17" s="6" t="s">
        <v>403</v>
      </c>
      <c r="D17" s="6" t="s">
        <v>404</v>
      </c>
      <c r="E17" s="6" t="s">
        <v>90</v>
      </c>
      <c r="F17" s="6" t="s">
        <v>478</v>
      </c>
      <c r="G17" s="6" t="s">
        <v>479</v>
      </c>
      <c r="H17" s="6" t="s">
        <v>480</v>
      </c>
      <c r="T17" s="4" t="s">
        <v>177</v>
      </c>
      <c r="U17" s="6">
        <v>21.37</v>
      </c>
    </row>
    <row r="18" spans="1:21" ht="15" customHeight="1" thickBot="1" x14ac:dyDescent="0.3">
      <c r="A18" s="14" t="s">
        <v>101</v>
      </c>
      <c r="B18" s="4" t="s">
        <v>100</v>
      </c>
      <c r="C18" s="9">
        <v>6733</v>
      </c>
      <c r="D18" s="9">
        <v>9783</v>
      </c>
      <c r="E18" s="9">
        <v>16493</v>
      </c>
      <c r="F18" s="9">
        <v>26376</v>
      </c>
      <c r="G18" s="6" t="s">
        <v>68</v>
      </c>
      <c r="H18" s="6" t="s">
        <v>68</v>
      </c>
      <c r="T18" s="4" t="s">
        <v>178</v>
      </c>
      <c r="U18" s="6">
        <v>1.05</v>
      </c>
    </row>
    <row r="19" spans="1:21" ht="15" customHeight="1" thickBot="1" x14ac:dyDescent="0.3">
      <c r="A19" s="14" t="s">
        <v>103</v>
      </c>
      <c r="B19" s="4" t="s">
        <v>84</v>
      </c>
      <c r="C19" s="6" t="s">
        <v>405</v>
      </c>
      <c r="D19" s="6" t="s">
        <v>406</v>
      </c>
      <c r="E19" s="6" t="s">
        <v>407</v>
      </c>
      <c r="F19" s="6" t="s">
        <v>481</v>
      </c>
      <c r="G19" s="6" t="s">
        <v>482</v>
      </c>
      <c r="H19" s="6" t="s">
        <v>483</v>
      </c>
    </row>
    <row r="20" spans="1:21" ht="15" customHeight="1" thickBot="1" x14ac:dyDescent="0.3">
      <c r="A20" s="14" t="s">
        <v>111</v>
      </c>
      <c r="B20" s="4" t="s">
        <v>85</v>
      </c>
      <c r="C20" s="6" t="s">
        <v>408</v>
      </c>
      <c r="D20" s="6" t="s">
        <v>409</v>
      </c>
      <c r="E20" s="6" t="s">
        <v>410</v>
      </c>
      <c r="F20" s="6" t="s">
        <v>484</v>
      </c>
      <c r="G20" s="6" t="s">
        <v>411</v>
      </c>
      <c r="H20" s="6" t="s">
        <v>485</v>
      </c>
      <c r="T20" s="4" t="s">
        <v>518</v>
      </c>
      <c r="U20" s="6" t="s">
        <v>516</v>
      </c>
    </row>
    <row r="21" spans="1:21" ht="15" customHeight="1" thickBot="1" x14ac:dyDescent="0.3">
      <c r="A21" s="14" t="s">
        <v>2</v>
      </c>
      <c r="B21" s="4" t="s">
        <v>92</v>
      </c>
      <c r="C21" s="6" t="s">
        <v>412</v>
      </c>
      <c r="D21" s="6" t="s">
        <v>413</v>
      </c>
      <c r="E21" s="6" t="s">
        <v>414</v>
      </c>
      <c r="F21" s="6" t="s">
        <v>486</v>
      </c>
      <c r="G21" s="6" t="s">
        <v>487</v>
      </c>
      <c r="H21" s="6" t="s">
        <v>71</v>
      </c>
      <c r="T21" s="4" t="s">
        <v>519</v>
      </c>
      <c r="U21" s="6" t="s">
        <v>517</v>
      </c>
    </row>
    <row r="22" spans="1:21" ht="15" customHeight="1" thickBot="1" x14ac:dyDescent="0.3">
      <c r="A22" s="14" t="s">
        <v>10</v>
      </c>
      <c r="B22" s="7" t="s">
        <v>99</v>
      </c>
      <c r="C22" s="8"/>
      <c r="D22" s="6"/>
      <c r="E22" s="6"/>
      <c r="F22" s="6"/>
      <c r="G22" s="6"/>
      <c r="H22" s="6"/>
      <c r="T22" s="4" t="s">
        <v>520</v>
      </c>
      <c r="U22" s="6">
        <v>0.34</v>
      </c>
    </row>
    <row r="23" spans="1:21" ht="15" customHeight="1" thickBot="1" x14ac:dyDescent="0.3">
      <c r="A23" s="14" t="s">
        <v>18</v>
      </c>
      <c r="J23" s="1" t="s">
        <v>211</v>
      </c>
      <c r="K23">
        <f>VLOOKUP(J23,B4:H36,2,FALSE)</f>
        <v>2019</v>
      </c>
      <c r="L23">
        <f>VLOOKUP(J23,B4:H36,3,FALSE)</f>
        <v>2020</v>
      </c>
      <c r="M23">
        <f>VLOOKUP(J23,B4:H36,4,FALSE)</f>
        <v>2021</v>
      </c>
      <c r="N23">
        <f>VLOOKUP(J23,B4:H36,5,FALSE)</f>
        <v>2022</v>
      </c>
      <c r="O23">
        <f>VLOOKUP(J23,B4:H36,6,FALSE)</f>
        <v>2023</v>
      </c>
      <c r="P23">
        <f>VLOOKUP(J23,B4:H36,7,FALSE)</f>
        <v>2024</v>
      </c>
      <c r="T23" s="4" t="s">
        <v>521</v>
      </c>
      <c r="U23" s="13">
        <v>1.8800000000000001E-2</v>
      </c>
    </row>
    <row r="24" spans="1:21" ht="15" customHeight="1" thickBot="1" x14ac:dyDescent="0.3">
      <c r="A24" s="14" t="s">
        <v>26</v>
      </c>
      <c r="B24" s="4" t="s">
        <v>211</v>
      </c>
      <c r="C24" s="5">
        <v>2019</v>
      </c>
      <c r="D24" s="5">
        <v>2020</v>
      </c>
      <c r="E24" s="5">
        <v>2021</v>
      </c>
      <c r="F24" s="5">
        <v>2022</v>
      </c>
      <c r="G24" s="5">
        <v>2023</v>
      </c>
      <c r="H24" s="5">
        <v>2024</v>
      </c>
      <c r="J24" s="1" t="s">
        <v>2</v>
      </c>
      <c r="K24">
        <f>VALUE(SUBSTITUTE(SUBSTITUTE(SUBSTITUTE(SUBSTITUTE(VLOOKUP(J24,B4:H36,2,FALSE)," ",""),"x",""),"%",""),",","."))</f>
        <v>6731</v>
      </c>
      <c r="L24">
        <f>VALUE(SUBSTITUTE(SUBSTITUTE(SUBSTITUTE(SUBSTITUTE(VLOOKUP(J24,B4:H36,3,FALSE)," ",""),"x",""),"%",""),",","."))</f>
        <v>9763</v>
      </c>
      <c r="M24">
        <f>VALUE(SUBSTITUTE(SUBSTITUTE(SUBSTITUTE(SUBSTITUTE(VLOOKUP(J24,B4:H36,4,FALSE)," ",""),"x",""),"%",""),",","."))</f>
        <v>16434</v>
      </c>
      <c r="N24">
        <f>VALUE(SUBSTITUTE(SUBSTITUTE(SUBSTITUTE(SUBSTITUTE(VLOOKUP(J24,B4:H36,5,FALSE)," ",""),"x",""),"%",""),",","."))</f>
        <v>26364</v>
      </c>
      <c r="O24">
        <f>VALUE(SUBSTITUTE(SUBSTITUTE(SUBSTITUTE(SUBSTITUTE(VLOOKUP(J24,B4:H36,6,FALSE)," ",""),"x",""),"%",""),",","."))</f>
        <v>29876</v>
      </c>
      <c r="P24">
        <f>VALUE(SUBSTITUTE(SUBSTITUTE(SUBSTITUTE(SUBSTITUTE(VLOOKUP(J24,B4:H36,7,FALSE)," ",""),"x",""),"%",""),",","."))</f>
        <v>32624</v>
      </c>
    </row>
    <row r="25" spans="1:21" ht="15" customHeight="1" thickBot="1" x14ac:dyDescent="0.3">
      <c r="A25" s="14" t="s">
        <v>33</v>
      </c>
      <c r="B25" s="4" t="s">
        <v>102</v>
      </c>
      <c r="C25" s="6" t="s">
        <v>68</v>
      </c>
      <c r="D25" s="6" t="s">
        <v>68</v>
      </c>
      <c r="E25" s="6" t="s">
        <v>68</v>
      </c>
      <c r="F25" s="6" t="s">
        <v>68</v>
      </c>
      <c r="G25" s="6" t="s">
        <v>68</v>
      </c>
      <c r="H25" s="6" t="s">
        <v>68</v>
      </c>
      <c r="J25" t="s">
        <v>189</v>
      </c>
      <c r="L25" s="11">
        <f>(L24-K24)/K24</f>
        <v>0.45045312732134896</v>
      </c>
      <c r="M25" s="11">
        <f>(M24-L24)/L24</f>
        <v>0.68329406944586701</v>
      </c>
      <c r="N25" s="11">
        <f>(N24-M24)/M24</f>
        <v>0.6042351223074115</v>
      </c>
      <c r="O25" s="11">
        <f>(O24-N24)/N24</f>
        <v>0.13321195569716279</v>
      </c>
      <c r="P25" s="11">
        <f>(P24-O24)/O24</f>
        <v>9.1980184763689923E-2</v>
      </c>
      <c r="T25" s="4" t="s">
        <v>187</v>
      </c>
      <c r="U25" s="6" t="s">
        <v>522</v>
      </c>
    </row>
    <row r="26" spans="1:21" ht="15" customHeight="1" thickBot="1" x14ac:dyDescent="0.3">
      <c r="A26" s="14" t="s">
        <v>41</v>
      </c>
      <c r="B26" s="4" t="s">
        <v>110</v>
      </c>
      <c r="C26" s="6" t="s">
        <v>415</v>
      </c>
      <c r="D26" s="6" t="s">
        <v>416</v>
      </c>
      <c r="E26" s="6" t="s">
        <v>417</v>
      </c>
      <c r="F26" s="6" t="s">
        <v>488</v>
      </c>
      <c r="G26" s="6" t="s">
        <v>489</v>
      </c>
      <c r="H26" s="6" t="s">
        <v>490</v>
      </c>
      <c r="T26" s="4" t="s">
        <v>188</v>
      </c>
      <c r="U26" s="6" t="s">
        <v>523</v>
      </c>
    </row>
    <row r="27" spans="1:21" ht="15" customHeight="1" thickBot="1" x14ac:dyDescent="0.3">
      <c r="B27" s="4" t="s">
        <v>111</v>
      </c>
      <c r="C27" s="6" t="s">
        <v>115</v>
      </c>
      <c r="D27" s="6" t="s">
        <v>418</v>
      </c>
      <c r="E27" s="6" t="s">
        <v>419</v>
      </c>
      <c r="F27" s="6" t="s">
        <v>491</v>
      </c>
      <c r="G27" s="6" t="s">
        <v>492</v>
      </c>
      <c r="H27" s="6" t="s">
        <v>493</v>
      </c>
    </row>
    <row r="28" spans="1:21" ht="15" customHeight="1" thickBot="1" x14ac:dyDescent="0.3">
      <c r="B28" s="7" t="s">
        <v>55</v>
      </c>
      <c r="C28" s="8"/>
      <c r="D28" s="6"/>
      <c r="E28" s="6"/>
      <c r="F28" s="6"/>
      <c r="G28" s="6"/>
      <c r="H28" s="6"/>
    </row>
    <row r="29" spans="1:21" ht="15" customHeight="1" thickBot="1" x14ac:dyDescent="0.3"/>
    <row r="30" spans="1:21" ht="15" customHeight="1" thickBot="1" x14ac:dyDescent="0.3">
      <c r="B30" s="4" t="s">
        <v>211</v>
      </c>
      <c r="C30" s="5" t="s">
        <v>298</v>
      </c>
      <c r="D30" s="5" t="s">
        <v>299</v>
      </c>
      <c r="E30" s="5" t="s">
        <v>300</v>
      </c>
      <c r="F30" s="5" t="s">
        <v>118</v>
      </c>
      <c r="G30" s="5" t="s">
        <v>119</v>
      </c>
      <c r="H30" s="5" t="s">
        <v>120</v>
      </c>
    </row>
    <row r="31" spans="1:21" ht="15" customHeight="1" thickBot="1" x14ac:dyDescent="0.3">
      <c r="B31" s="4" t="s">
        <v>9</v>
      </c>
      <c r="C31" s="6" t="s">
        <v>420</v>
      </c>
      <c r="D31" s="6" t="s">
        <v>421</v>
      </c>
      <c r="E31" s="6" t="s">
        <v>494</v>
      </c>
      <c r="F31" s="6" t="s">
        <v>495</v>
      </c>
      <c r="G31" s="6" t="s">
        <v>496</v>
      </c>
      <c r="H31" s="6" t="s">
        <v>497</v>
      </c>
    </row>
    <row r="32" spans="1:21" ht="15" customHeight="1" thickBot="1" x14ac:dyDescent="0.3">
      <c r="B32" s="4" t="s">
        <v>17</v>
      </c>
      <c r="C32" s="6" t="s">
        <v>422</v>
      </c>
      <c r="D32" s="6" t="s">
        <v>423</v>
      </c>
      <c r="E32" s="6" t="s">
        <v>498</v>
      </c>
      <c r="F32" s="6" t="s">
        <v>499</v>
      </c>
      <c r="G32" s="6" t="s">
        <v>500</v>
      </c>
      <c r="H32" s="6" t="s">
        <v>501</v>
      </c>
    </row>
    <row r="33" spans="2:8" ht="15" customHeight="1" thickBot="1" x14ac:dyDescent="0.3">
      <c r="B33" s="4" t="s">
        <v>25</v>
      </c>
      <c r="C33" s="6" t="s">
        <v>424</v>
      </c>
      <c r="D33" s="6" t="s">
        <v>425</v>
      </c>
      <c r="E33" s="6" t="s">
        <v>502</v>
      </c>
      <c r="F33" s="6" t="s">
        <v>503</v>
      </c>
      <c r="G33" s="6" t="s">
        <v>504</v>
      </c>
      <c r="H33" s="6" t="s">
        <v>505</v>
      </c>
    </row>
    <row r="34" spans="2:8" ht="15" customHeight="1" thickBot="1" x14ac:dyDescent="0.3">
      <c r="B34" s="4" t="s">
        <v>26</v>
      </c>
      <c r="C34" s="6" t="s">
        <v>426</v>
      </c>
      <c r="D34" s="6" t="s">
        <v>427</v>
      </c>
      <c r="E34" s="6" t="s">
        <v>387</v>
      </c>
      <c r="F34" s="6" t="s">
        <v>428</v>
      </c>
      <c r="G34" s="6" t="s">
        <v>463</v>
      </c>
      <c r="H34" s="6" t="s">
        <v>506</v>
      </c>
    </row>
    <row r="35" spans="2:8" ht="15" customHeight="1" thickBot="1" x14ac:dyDescent="0.3">
      <c r="B35" s="4" t="s">
        <v>40</v>
      </c>
      <c r="C35" s="6">
        <v>923</v>
      </c>
      <c r="D35" s="6">
        <v>974</v>
      </c>
      <c r="E35" s="6">
        <v>786</v>
      </c>
      <c r="F35" s="6" t="s">
        <v>507</v>
      </c>
      <c r="G35" s="6" t="s">
        <v>508</v>
      </c>
      <c r="H35" s="6" t="s">
        <v>509</v>
      </c>
    </row>
    <row r="36" spans="2:8" ht="15" customHeight="1" thickBot="1" x14ac:dyDescent="0.3">
      <c r="B36" s="4" t="s">
        <v>41</v>
      </c>
      <c r="C36" s="6" t="s">
        <v>429</v>
      </c>
      <c r="D36" s="6" t="s">
        <v>430</v>
      </c>
      <c r="E36" s="6" t="s">
        <v>510</v>
      </c>
      <c r="F36" s="6" t="s">
        <v>511</v>
      </c>
      <c r="G36" s="6" t="s">
        <v>512</v>
      </c>
      <c r="H36" s="6" t="s">
        <v>513</v>
      </c>
    </row>
    <row r="37" spans="2:8" ht="15" customHeight="1" thickBot="1" x14ac:dyDescent="0.3">
      <c r="B37" s="7" t="s">
        <v>55</v>
      </c>
      <c r="C37" s="8"/>
      <c r="D37" s="6"/>
      <c r="E37" s="6"/>
      <c r="F37" s="6"/>
      <c r="G37" s="6"/>
      <c r="H37" s="6"/>
    </row>
    <row r="38" spans="2:8" ht="15" customHeight="1" thickBot="1" x14ac:dyDescent="0.3"/>
    <row r="39" spans="2:8" ht="15" customHeight="1" thickBot="1" x14ac:dyDescent="0.3">
      <c r="B39" s="2" t="s">
        <v>157</v>
      </c>
      <c r="C39" s="17">
        <v>2020</v>
      </c>
      <c r="D39" s="17"/>
      <c r="E39" s="17">
        <v>2021</v>
      </c>
      <c r="F39" s="17"/>
      <c r="G39" s="2" t="s">
        <v>190</v>
      </c>
    </row>
    <row r="40" spans="2:8" ht="15" customHeight="1" thickBot="1" x14ac:dyDescent="0.3">
      <c r="B40" s="2" t="s">
        <v>431</v>
      </c>
      <c r="C40" s="3" t="s">
        <v>432</v>
      </c>
      <c r="D40" s="12">
        <v>0.65900000000000003</v>
      </c>
      <c r="E40" s="3" t="s">
        <v>433</v>
      </c>
      <c r="F40" s="12">
        <v>0.56799999999999995</v>
      </c>
      <c r="G40" s="12">
        <v>0.45090000000000002</v>
      </c>
    </row>
    <row r="41" spans="2:8" ht="15" customHeight="1" thickBot="1" x14ac:dyDescent="0.3">
      <c r="B41" s="2" t="s">
        <v>434</v>
      </c>
      <c r="C41" s="3" t="s">
        <v>435</v>
      </c>
      <c r="D41" s="12">
        <v>0.34100000000000003</v>
      </c>
      <c r="E41" s="3" t="s">
        <v>436</v>
      </c>
      <c r="F41" s="12">
        <v>0.432</v>
      </c>
      <c r="G41" s="12">
        <v>1.1321000000000001</v>
      </c>
    </row>
    <row r="42" spans="2:8" ht="15" customHeight="1" thickBot="1" x14ac:dyDescent="0.3">
      <c r="B42" s="2" t="s">
        <v>197</v>
      </c>
      <c r="C42" s="3"/>
      <c r="D42" s="3"/>
      <c r="E42" s="3"/>
      <c r="F42" s="3"/>
      <c r="G42" s="3"/>
    </row>
    <row r="43" spans="2:8" ht="15" customHeight="1" thickBot="1" x14ac:dyDescent="0.3"/>
    <row r="44" spans="2:8" ht="15" customHeight="1" thickBot="1" x14ac:dyDescent="0.3">
      <c r="B44" s="2" t="s">
        <v>158</v>
      </c>
      <c r="C44" s="17">
        <v>2020</v>
      </c>
      <c r="D44" s="17"/>
      <c r="E44" s="17">
        <v>2021</v>
      </c>
      <c r="F44" s="17"/>
      <c r="G44" s="2" t="s">
        <v>190</v>
      </c>
    </row>
    <row r="45" spans="2:8" ht="15" customHeight="1" thickBot="1" x14ac:dyDescent="0.3">
      <c r="B45" s="2" t="s">
        <v>206</v>
      </c>
      <c r="C45" s="3" t="s">
        <v>437</v>
      </c>
      <c r="D45" s="12">
        <v>0.23499999999999999</v>
      </c>
      <c r="E45" s="3" t="s">
        <v>438</v>
      </c>
      <c r="F45" s="12">
        <v>0.28299999999999997</v>
      </c>
      <c r="G45" s="12">
        <v>1.0296000000000001</v>
      </c>
    </row>
    <row r="46" spans="2:8" ht="15" customHeight="1" thickBot="1" x14ac:dyDescent="0.3">
      <c r="B46" s="2" t="s">
        <v>439</v>
      </c>
      <c r="C46" s="3" t="s">
        <v>440</v>
      </c>
      <c r="D46" s="12">
        <v>0.23899999999999999</v>
      </c>
      <c r="E46" s="3" t="s">
        <v>441</v>
      </c>
      <c r="F46" s="12">
        <v>0.249</v>
      </c>
      <c r="G46" s="12">
        <v>0.75870000000000004</v>
      </c>
    </row>
    <row r="47" spans="2:8" ht="15" customHeight="1" thickBot="1" x14ac:dyDescent="0.3">
      <c r="B47" s="2" t="s">
        <v>442</v>
      </c>
      <c r="C47" s="3" t="s">
        <v>443</v>
      </c>
      <c r="D47" s="12">
        <v>0.106</v>
      </c>
      <c r="E47" s="3" t="s">
        <v>444</v>
      </c>
      <c r="F47" s="12">
        <v>0.14499999999999999</v>
      </c>
      <c r="G47" s="12">
        <v>1.3048999999999999</v>
      </c>
    </row>
    <row r="48" spans="2:8" ht="15" customHeight="1" thickBot="1" x14ac:dyDescent="0.3">
      <c r="B48" s="2" t="s">
        <v>198</v>
      </c>
      <c r="C48" s="3" t="s">
        <v>445</v>
      </c>
      <c r="D48" s="12">
        <v>0.122</v>
      </c>
      <c r="E48" s="3" t="s">
        <v>446</v>
      </c>
      <c r="F48" s="12">
        <v>0.127</v>
      </c>
      <c r="G48" s="12">
        <v>0.76160000000000005</v>
      </c>
    </row>
    <row r="49" spans="2:12" ht="15" customHeight="1" thickBot="1" x14ac:dyDescent="0.3">
      <c r="B49" s="2" t="s">
        <v>447</v>
      </c>
      <c r="C49" s="3" t="s">
        <v>448</v>
      </c>
      <c r="D49" s="12">
        <v>0.112</v>
      </c>
      <c r="E49" s="3" t="s">
        <v>449</v>
      </c>
      <c r="F49" s="12">
        <v>8.5000000000000006E-2</v>
      </c>
      <c r="G49" s="12">
        <v>0.26729999999999998</v>
      </c>
    </row>
    <row r="50" spans="2:12" ht="15" customHeight="1" thickBot="1" x14ac:dyDescent="0.3">
      <c r="B50" s="2" t="s">
        <v>450</v>
      </c>
      <c r="C50" s="3" t="s">
        <v>451</v>
      </c>
      <c r="D50" s="12">
        <v>0.113</v>
      </c>
      <c r="E50" s="3" t="s">
        <v>452</v>
      </c>
      <c r="F50" s="12">
        <v>7.5999999999999998E-2</v>
      </c>
      <c r="G50" s="12">
        <v>0.1273</v>
      </c>
    </row>
    <row r="51" spans="2:12" ht="15" customHeight="1" thickBot="1" x14ac:dyDescent="0.3">
      <c r="B51" s="2" t="s">
        <v>204</v>
      </c>
      <c r="C51" s="3">
        <v>716</v>
      </c>
      <c r="D51" s="12">
        <v>7.2999999999999995E-2</v>
      </c>
      <c r="E51" s="3">
        <v>572</v>
      </c>
      <c r="F51" s="12">
        <v>3.5000000000000003E-2</v>
      </c>
      <c r="G51" s="12">
        <v>-0.2011</v>
      </c>
    </row>
    <row r="52" spans="2:12" ht="15" customHeight="1" thickBot="1" x14ac:dyDescent="0.3">
      <c r="B52" s="2" t="s">
        <v>197</v>
      </c>
      <c r="C52" s="3"/>
      <c r="D52" s="3"/>
      <c r="E52" s="3"/>
      <c r="F52" s="3"/>
      <c r="G52" s="3"/>
    </row>
    <row r="53" spans="2:12" ht="15" customHeight="1" thickBot="1" x14ac:dyDescent="0.3"/>
    <row r="54" spans="2:12" ht="249.95" customHeight="1" thickBot="1" x14ac:dyDescent="0.3">
      <c r="B54" s="18" t="s">
        <v>453</v>
      </c>
      <c r="C54" s="18"/>
      <c r="D54" s="18"/>
      <c r="E54" s="18"/>
      <c r="F54" s="18"/>
      <c r="G54" s="18"/>
      <c r="H54" s="18"/>
      <c r="I54" s="18"/>
      <c r="J54" s="18"/>
      <c r="K54" s="18"/>
      <c r="L54" s="18"/>
    </row>
  </sheetData>
  <mergeCells count="5">
    <mergeCell ref="E44:F44"/>
    <mergeCell ref="C44:D44"/>
    <mergeCell ref="B54:L54"/>
    <mergeCell ref="C39:D39"/>
    <mergeCell ref="E39:F39"/>
  </mergeCells>
  <dataValidations count="2">
    <dataValidation type="list" allowBlank="1" showInputMessage="1" showErrorMessage="1" sqref="J23" xr:uid="{837FC65E-591C-4516-B3E9-D71F22D338F6}">
      <formula1>B4</formula1>
    </dataValidation>
    <dataValidation type="list" allowBlank="1" showInputMessage="1" showErrorMessage="1" sqref="J24" xr:uid="{4D403C7C-1E46-43DA-AD13-F5512FFF0681}">
      <formula1>A4:A26</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Mr_Quantitative_NVDA</vt:lpstr>
      <vt:lpstr>Mr_Quantitative_AMZN</vt:lpstr>
      <vt:lpstr>Mr_Quantitative_AMD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Greenman</dc:creator>
  <cp:lastModifiedBy>Michael</cp:lastModifiedBy>
  <dcterms:created xsi:type="dcterms:W3CDTF">2022-01-04T12:16:52Z</dcterms:created>
  <dcterms:modified xsi:type="dcterms:W3CDTF">2022-05-17T18:57:43Z</dcterms:modified>
</cp:coreProperties>
</file>