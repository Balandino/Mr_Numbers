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Coding\Workpad\VBA Coding\"/>
    </mc:Choice>
  </mc:AlternateContent>
  <xr:revisionPtr revIDLastSave="0" documentId="13_ncr:1_{A079FFD5-E824-4062-8033-0E27C4B2994A}" xr6:coauthVersionLast="47" xr6:coauthVersionMax="47" xr10:uidLastSave="{00000000-0000-0000-0000-000000000000}"/>
  <bookViews>
    <workbookView xWindow="-120" yWindow="-120" windowWidth="57840" windowHeight="32040" activeTab="1" xr2:uid="{A2006532-FCEB-42F7-8504-04B04D081F72}"/>
  </bookViews>
  <sheets>
    <sheet name="Mr_Quantitative_INTC" sheetId="4" r:id="rId1"/>
    <sheet name="Mr_Quantitative_NVDA" sheetId="6" r:id="rId2"/>
    <sheet name="Mr_Quantitative_MKS.L" sheetId="5"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 i="6" l="1"/>
  <c r="O32" i="6"/>
  <c r="N32" i="6"/>
  <c r="M32" i="6"/>
  <c r="L32" i="6"/>
  <c r="P31" i="6"/>
  <c r="O31" i="6"/>
  <c r="N31" i="6"/>
  <c r="M31" i="6"/>
  <c r="L31" i="6"/>
  <c r="K31" i="6"/>
  <c r="P30" i="6"/>
  <c r="O30" i="6"/>
  <c r="N30" i="6"/>
  <c r="M30" i="6"/>
  <c r="L30" i="6"/>
  <c r="K30" i="6"/>
  <c r="P32" i="5" l="1"/>
  <c r="O32" i="5"/>
  <c r="N32" i="5"/>
  <c r="M32" i="5"/>
  <c r="L32" i="5"/>
  <c r="P31" i="5"/>
  <c r="O31" i="5"/>
  <c r="N31" i="5"/>
  <c r="M31" i="5"/>
  <c r="L31" i="5"/>
  <c r="K31" i="5"/>
  <c r="P30" i="5"/>
  <c r="O30" i="5"/>
  <c r="N30" i="5"/>
  <c r="M30" i="5"/>
  <c r="L30" i="5"/>
  <c r="K30" i="5"/>
  <c r="P32" i="4"/>
  <c r="O32" i="4"/>
  <c r="N32" i="4"/>
  <c r="M32" i="4"/>
  <c r="L32" i="4"/>
  <c r="P31" i="4"/>
  <c r="O31" i="4"/>
  <c r="N31" i="4"/>
  <c r="M31" i="4"/>
  <c r="L31" i="4"/>
  <c r="K31" i="4"/>
  <c r="P30" i="4"/>
  <c r="O30" i="4"/>
  <c r="N30" i="4"/>
  <c r="M30" i="4"/>
  <c r="L30" i="4"/>
  <c r="K30" i="4"/>
</calcChain>
</file>

<file path=xl/sharedStrings.xml><?xml version="1.0" encoding="utf-8"?>
<sst xmlns="http://schemas.openxmlformats.org/spreadsheetml/2006/main" count="1211" uniqueCount="758">
  <si>
    <t xml:space="preserve">Fiscal Period: January </t>
  </si>
  <si>
    <t>Net sales1</t>
  </si>
  <si>
    <r>
      <t>Net sales</t>
    </r>
    <r>
      <rPr>
        <vertAlign val="superscript"/>
        <sz val="11"/>
        <color theme="1"/>
        <rFont val="Calibri"/>
        <family val="2"/>
        <scheme val="minor"/>
      </rPr>
      <t>1</t>
    </r>
  </si>
  <si>
    <t>EBITDA1</t>
  </si>
  <si>
    <r>
      <t>EBITDA</t>
    </r>
    <r>
      <rPr>
        <vertAlign val="superscript"/>
        <sz val="11"/>
        <color theme="1"/>
        <rFont val="Calibri"/>
        <family val="2"/>
        <scheme val="minor"/>
      </rPr>
      <t>1</t>
    </r>
  </si>
  <si>
    <t>Operating profit (EBIT)1</t>
  </si>
  <si>
    <r>
      <t>Operating profit (EBIT)</t>
    </r>
    <r>
      <rPr>
        <vertAlign val="superscript"/>
        <sz val="11"/>
        <color theme="1"/>
        <rFont val="Calibri"/>
        <family val="2"/>
        <scheme val="minor"/>
      </rPr>
      <t>1</t>
    </r>
  </si>
  <si>
    <t>Operating Margin</t>
  </si>
  <si>
    <t>Net income1</t>
  </si>
  <si>
    <r>
      <t>Net income</t>
    </r>
    <r>
      <rPr>
        <vertAlign val="superscript"/>
        <sz val="11"/>
        <color theme="1"/>
        <rFont val="Calibri"/>
        <family val="2"/>
        <scheme val="minor"/>
      </rPr>
      <t>1</t>
    </r>
  </si>
  <si>
    <t>Net margin</t>
  </si>
  <si>
    <t>EPS2</t>
  </si>
  <si>
    <r>
      <t>EPS</t>
    </r>
    <r>
      <rPr>
        <vertAlign val="superscript"/>
        <sz val="11"/>
        <color theme="1"/>
        <rFont val="Calibri"/>
        <family val="2"/>
        <scheme val="minor"/>
      </rPr>
      <t>2</t>
    </r>
  </si>
  <si>
    <r>
      <t>1</t>
    </r>
    <r>
      <rPr>
        <sz val="11"/>
        <color theme="1"/>
        <rFont val="Calibri"/>
        <family val="2"/>
        <scheme val="minor"/>
      </rPr>
      <t xml:space="preserve">USD in Million </t>
    </r>
    <r>
      <rPr>
        <vertAlign val="superscript"/>
        <sz val="11"/>
        <color theme="1"/>
        <rFont val="Calibri"/>
        <family val="2"/>
        <scheme val="minor"/>
      </rPr>
      <t>2</t>
    </r>
    <r>
      <rPr>
        <sz val="11"/>
        <color theme="1"/>
        <rFont val="Calibri"/>
        <family val="2"/>
        <scheme val="minor"/>
      </rPr>
      <t>USD</t>
    </r>
  </si>
  <si>
    <t>P/E ratio</t>
  </si>
  <si>
    <t>54,4x</t>
  </si>
  <si>
    <t>75,3x</t>
  </si>
  <si>
    <t>59,3x</t>
  </si>
  <si>
    <t>Capitalization1</t>
  </si>
  <si>
    <t>150 436</t>
  </si>
  <si>
    <t>321 626</t>
  </si>
  <si>
    <t>571 000</t>
  </si>
  <si>
    <t>-</t>
  </si>
  <si>
    <r>
      <t>Capitalization</t>
    </r>
    <r>
      <rPr>
        <vertAlign val="superscript"/>
        <sz val="11"/>
        <color theme="1"/>
        <rFont val="Calibri"/>
        <family val="2"/>
        <scheme val="minor"/>
      </rPr>
      <t>1</t>
    </r>
  </si>
  <si>
    <t>Capitalization / Revenue</t>
  </si>
  <si>
    <t>13,8x</t>
  </si>
  <si>
    <t>19,3x</t>
  </si>
  <si>
    <t>21,2x</t>
  </si>
  <si>
    <t>Enterprise Value (EV)1</t>
  </si>
  <si>
    <t>141 530</t>
  </si>
  <si>
    <t>317 028</t>
  </si>
  <si>
    <t>560 738</t>
  </si>
  <si>
    <r>
      <t>Enterprise Value (EV)</t>
    </r>
    <r>
      <rPr>
        <vertAlign val="superscript"/>
        <sz val="11"/>
        <color theme="1"/>
        <rFont val="Calibri"/>
        <family val="2"/>
        <scheme val="minor"/>
      </rPr>
      <t>1</t>
    </r>
  </si>
  <si>
    <t>EV / Revenue</t>
  </si>
  <si>
    <t>13,0x</t>
  </si>
  <si>
    <t>19,0x</t>
  </si>
  <si>
    <t>20,8x</t>
  </si>
  <si>
    <t>12,9x</t>
  </si>
  <si>
    <t>EV / EBITDA</t>
  </si>
  <si>
    <t>43,9x</t>
  </si>
  <si>
    <t>56,3x</t>
  </si>
  <si>
    <t>50,0x</t>
  </si>
  <si>
    <r>
      <t>1</t>
    </r>
    <r>
      <rPr>
        <sz val="11"/>
        <color theme="1"/>
        <rFont val="Calibri"/>
        <family val="2"/>
        <scheme val="minor"/>
      </rPr>
      <t>USD in Million</t>
    </r>
  </si>
  <si>
    <t>Revenue</t>
  </si>
  <si>
    <t>Net Debt1</t>
  </si>
  <si>
    <r>
      <t>Net Debt</t>
    </r>
    <r>
      <rPr>
        <vertAlign val="superscript"/>
        <sz val="11"/>
        <color theme="1"/>
        <rFont val="Calibri"/>
        <family val="2"/>
        <scheme val="minor"/>
      </rPr>
      <t>1</t>
    </r>
  </si>
  <si>
    <t>Net Cash position1</t>
  </si>
  <si>
    <t>8 906</t>
  </si>
  <si>
    <t>4 598</t>
  </si>
  <si>
    <t>10 262</t>
  </si>
  <si>
    <r>
      <t>Net Cash position</t>
    </r>
    <r>
      <rPr>
        <vertAlign val="superscript"/>
        <sz val="11"/>
        <color theme="1"/>
        <rFont val="Calibri"/>
        <family val="2"/>
        <scheme val="minor"/>
      </rPr>
      <t>1</t>
    </r>
  </si>
  <si>
    <t>Leverage (Debt / EBITDA)</t>
  </si>
  <si>
    <t>-2,76x</t>
  </si>
  <si>
    <t>-0,82x</t>
  </si>
  <si>
    <t>-0,92x</t>
  </si>
  <si>
    <t>2022 Q2</t>
  </si>
  <si>
    <t>2022 Q3</t>
  </si>
  <si>
    <t>2022 Q4</t>
  </si>
  <si>
    <t>2023 Q1</t>
  </si>
  <si>
    <t>2023 Q2</t>
  </si>
  <si>
    <t>2023 Q3</t>
  </si>
  <si>
    <t>7 643</t>
  </si>
  <si>
    <t>3 677</t>
  </si>
  <si>
    <t>47,7%</t>
  </si>
  <si>
    <t>48,1%</t>
  </si>
  <si>
    <t>3 003</t>
  </si>
  <si>
    <t>39,3%</t>
  </si>
  <si>
    <t>21,5%</t>
  </si>
  <si>
    <t>Sales Per Business</t>
  </si>
  <si>
    <t>Sales Per Region</t>
  </si>
  <si>
    <t>Sector(s)</t>
  </si>
  <si>
    <t>Technology</t>
  </si>
  <si>
    <t>Industry</t>
  </si>
  <si>
    <t>Semiconductors</t>
  </si>
  <si>
    <t>Exchange</t>
  </si>
  <si>
    <t>Previous Close</t>
  </si>
  <si>
    <t>Avg. Volume</t>
  </si>
  <si>
    <t>Market Cap</t>
  </si>
  <si>
    <t>Beta (5Y Monthly)</t>
  </si>
  <si>
    <t>Earnings Date</t>
  </si>
  <si>
    <t>Forward Dividend &amp; Yield</t>
  </si>
  <si>
    <t>1y Target Est</t>
  </si>
  <si>
    <t xml:space="preserve">Enterprise Value </t>
  </si>
  <si>
    <t xml:space="preserve">Trailing P/E </t>
  </si>
  <si>
    <t xml:space="preserve">Forward P/E </t>
  </si>
  <si>
    <t xml:space="preserve">PEG Ratio (5 yr expected) </t>
  </si>
  <si>
    <t xml:space="preserve">Avg Vol (3 month) </t>
  </si>
  <si>
    <t xml:space="preserve">Avg Vol (10 day) </t>
  </si>
  <si>
    <t>YoY</t>
  </si>
  <si>
    <t>Delta</t>
  </si>
  <si>
    <t>Graphics</t>
  </si>
  <si>
    <t>9 834.00</t>
  </si>
  <si>
    <t>15 868.00</t>
  </si>
  <si>
    <t>Compute and Networking</t>
  </si>
  <si>
    <t>6 841.00</t>
  </si>
  <si>
    <t>11 046.00</t>
  </si>
  <si>
    <t>USD in Million</t>
  </si>
  <si>
    <t>Taiwan</t>
  </si>
  <si>
    <t>4 531.00</t>
  </si>
  <si>
    <t>8 544.00</t>
  </si>
  <si>
    <t>China</t>
  </si>
  <si>
    <t>3 886.00</t>
  </si>
  <si>
    <t>7 111.00</t>
  </si>
  <si>
    <t>Other Countries</t>
  </si>
  <si>
    <t>6 910.00</t>
  </si>
  <si>
    <t>United States</t>
  </si>
  <si>
    <t>3 214.00</t>
  </si>
  <si>
    <t>4 349.00</t>
  </si>
  <si>
    <t xml:space="preserve">Fiscal Period: December </t>
  </si>
  <si>
    <t>2021 Q3</t>
  </si>
  <si>
    <t>2021 Q4</t>
  </si>
  <si>
    <t>2022 Q1</t>
  </si>
  <si>
    <t>11,3x</t>
  </si>
  <si>
    <t>Singapore</t>
  </si>
  <si>
    <t>Nasdaq</t>
  </si>
  <si>
    <t>Intel</t>
  </si>
  <si>
    <t>71 965</t>
  </si>
  <si>
    <t>77 867</t>
  </si>
  <si>
    <t>74 718</t>
  </si>
  <si>
    <t>74 900</t>
  </si>
  <si>
    <t>77 383</t>
  </si>
  <si>
    <t>82 082</t>
  </si>
  <si>
    <t>33 254</t>
  </si>
  <si>
    <t>36 115</t>
  </si>
  <si>
    <t>32 505</t>
  </si>
  <si>
    <t>28 205</t>
  </si>
  <si>
    <t>29 018</t>
  </si>
  <si>
    <t>34 634</t>
  </si>
  <si>
    <t>23 752</t>
  </si>
  <si>
    <t>25 292</t>
  </si>
  <si>
    <t>22 205</t>
  </si>
  <si>
    <t>16 100</t>
  </si>
  <si>
    <t>16 842</t>
  </si>
  <si>
    <t>17 778</t>
  </si>
  <si>
    <t>33,0%</t>
  </si>
  <si>
    <t>32,5%</t>
  </si>
  <si>
    <t>29,7%</t>
  </si>
  <si>
    <t>21,8%</t>
  </si>
  <si>
    <t>21,7%</t>
  </si>
  <si>
    <t>21 048</t>
  </si>
  <si>
    <t>20 899</t>
  </si>
  <si>
    <t>19 868</t>
  </si>
  <si>
    <t>16 304</t>
  </si>
  <si>
    <t>12 080</t>
  </si>
  <si>
    <t>12 723</t>
  </si>
  <si>
    <t>29,2%</t>
  </si>
  <si>
    <t>26,8%</t>
  </si>
  <si>
    <t>26,6%</t>
  </si>
  <si>
    <t>15,6%</t>
  </si>
  <si>
    <t>15,5%</t>
  </si>
  <si>
    <t>4,71</t>
  </si>
  <si>
    <t>4,94</t>
  </si>
  <si>
    <t>4,86</t>
  </si>
  <si>
    <t>3,87</t>
  </si>
  <si>
    <t>2,81</t>
  </si>
  <si>
    <t>3,22</t>
  </si>
  <si>
    <t>12,6x</t>
  </si>
  <si>
    <t>9,53x</t>
  </si>
  <si>
    <t>10,6x</t>
  </si>
  <si>
    <t>9,39x</t>
  </si>
  <si>
    <t>258 434</t>
  </si>
  <si>
    <t>192 893</t>
  </si>
  <si>
    <t>208 678</t>
  </si>
  <si>
    <t>148 582</t>
  </si>
  <si>
    <t>3,59x</t>
  </si>
  <si>
    <t>2,48x</t>
  </si>
  <si>
    <t>2,79x</t>
  </si>
  <si>
    <t>1,98x</t>
  </si>
  <si>
    <t>1,92x</t>
  </si>
  <si>
    <t>1,81x</t>
  </si>
  <si>
    <t>274 312</t>
  </si>
  <si>
    <t>205 399</t>
  </si>
  <si>
    <t>218 366</t>
  </si>
  <si>
    <t>155 919</t>
  </si>
  <si>
    <t>159 440</t>
  </si>
  <si>
    <t>164 782</t>
  </si>
  <si>
    <t>3,81x</t>
  </si>
  <si>
    <t>2,64x</t>
  </si>
  <si>
    <t>2,92x</t>
  </si>
  <si>
    <t>2,08x</t>
  </si>
  <si>
    <t>2,06x</t>
  </si>
  <si>
    <t>2,01x</t>
  </si>
  <si>
    <t>8,25x</t>
  </si>
  <si>
    <t>5,69x</t>
  </si>
  <si>
    <t>6,72x</t>
  </si>
  <si>
    <t>5,53x</t>
  </si>
  <si>
    <t>5,49x</t>
  </si>
  <si>
    <t>4,76x</t>
  </si>
  <si>
    <t>15 878</t>
  </si>
  <si>
    <t>12 506</t>
  </si>
  <si>
    <t>9 688</t>
  </si>
  <si>
    <t>7 337</t>
  </si>
  <si>
    <t>10 858</t>
  </si>
  <si>
    <t>16 200</t>
  </si>
  <si>
    <t>0,48x</t>
  </si>
  <si>
    <t>0,35x</t>
  </si>
  <si>
    <t>0,30x</t>
  </si>
  <si>
    <t>0,26x</t>
  </si>
  <si>
    <t>0,37x</t>
  </si>
  <si>
    <t>0,47x</t>
  </si>
  <si>
    <t>18 087</t>
  </si>
  <si>
    <t>19 532</t>
  </si>
  <si>
    <t>18 353</t>
  </si>
  <si>
    <t>17 979</t>
  </si>
  <si>
    <t>18 968</t>
  </si>
  <si>
    <t>19 800</t>
  </si>
  <si>
    <t>7 786</t>
  </si>
  <si>
    <t>7 738</t>
  </si>
  <si>
    <t>7 185</t>
  </si>
  <si>
    <t>6 287</t>
  </si>
  <si>
    <t>7 276</t>
  </si>
  <si>
    <t>7 838</t>
  </si>
  <si>
    <t>5 202</t>
  </si>
  <si>
    <t>5 051</t>
  </si>
  <si>
    <t>4 241</t>
  </si>
  <si>
    <t>3 270</t>
  </si>
  <si>
    <t>4 049</t>
  </si>
  <si>
    <t>4 594</t>
  </si>
  <si>
    <t>28,8%</t>
  </si>
  <si>
    <t>25,9%</t>
  </si>
  <si>
    <t>23,1%</t>
  </si>
  <si>
    <t>18,2%</t>
  </si>
  <si>
    <t>21,3%</t>
  </si>
  <si>
    <t>23,2%</t>
  </si>
  <si>
    <t>6 823</t>
  </si>
  <si>
    <t>4 623</t>
  </si>
  <si>
    <t>8 113</t>
  </si>
  <si>
    <t>2 187</t>
  </si>
  <si>
    <t>2 996</t>
  </si>
  <si>
    <t>3 378</t>
  </si>
  <si>
    <t>37,7%</t>
  </si>
  <si>
    <t>23,7%</t>
  </si>
  <si>
    <t>44,2%</t>
  </si>
  <si>
    <t>12,2%</t>
  </si>
  <si>
    <t>15,8%</t>
  </si>
  <si>
    <t>17,1%</t>
  </si>
  <si>
    <t>Client Computing</t>
  </si>
  <si>
    <t>40 057.00</t>
  </si>
  <si>
    <t>40 511.00</t>
  </si>
  <si>
    <t>Data Center</t>
  </si>
  <si>
    <t>26 103.00</t>
  </si>
  <si>
    <t>25 821.00</t>
  </si>
  <si>
    <t>Non-Volatile Memory Solutions</t>
  </si>
  <si>
    <t>5 358.00</t>
  </si>
  <si>
    <t>4 306.00</t>
  </si>
  <si>
    <t>Internet of Things</t>
  </si>
  <si>
    <t>3 007.00</t>
  </si>
  <si>
    <t>3 998.00</t>
  </si>
  <si>
    <t>Programmable Solutions</t>
  </si>
  <si>
    <t>1 853.00</t>
  </si>
  <si>
    <t>1 934.00</t>
  </si>
  <si>
    <t>Mobileye</t>
  </si>
  <si>
    <t>1 386.00</t>
  </si>
  <si>
    <t>All Other</t>
  </si>
  <si>
    <t>1 068.00</t>
  </si>
  <si>
    <t>20 257.00</t>
  </si>
  <si>
    <t>21 141.00</t>
  </si>
  <si>
    <t>Other Regions</t>
  </si>
  <si>
    <t>11 587.00</t>
  </si>
  <si>
    <t>16 061.00</t>
  </si>
  <si>
    <t>17 845.00</t>
  </si>
  <si>
    <t>14 254.00</t>
  </si>
  <si>
    <t>16 573.00</t>
  </si>
  <si>
    <t>14 107.00</t>
  </si>
  <si>
    <t>11 605.00</t>
  </si>
  <si>
    <t>13 461.00</t>
  </si>
  <si>
    <t>l Corporation is the world leading manufacturer of semiconductor. Net sales break down by family of products:_x000D_
_x000D_
- computing architectures products (80.7%): micro-processors (Pentium, Intel Xeon names etc.), chips and motherboards intended for computers, servers, workstations, pocket PCs, Internet of Things, graphic architectures, communication infrastructures, etc. The group also develops associated softwares; _x000D_
_x000D_
- adjacent products (19.3%): accelerators, silicon wafers, cards, connectivity products, cellular modems, Ethernet controllers, network components, storage products, etc._x000D_
_x000D_
Net sales are distributed geographically as follows: the United States (17.9%), China (26.8%), Singapore (18%), Taiwan (17%) and other (20.3%)._x000D_
_x000D_
_x000D_
Number of employees : 121 100 people.</t>
  </si>
  <si>
    <t>148.594B</t>
  </si>
  <si>
    <t>Jul 20, 2022 - Jul 25, 2022</t>
  </si>
  <si>
    <t>1.46 (4.02%)</t>
  </si>
  <si>
    <t>156.51B</t>
  </si>
  <si>
    <t>79.04M</t>
  </si>
  <si>
    <t>61.61M</t>
  </si>
  <si>
    <t xml:space="preserve">Shares Short (Jun 14, 2022) </t>
  </si>
  <si>
    <t xml:space="preserve">Shares Short (prior month May 12, 2022) </t>
  </si>
  <si>
    <t xml:space="preserve">Short Ratio (Jun 14, 2022) </t>
  </si>
  <si>
    <t xml:space="preserve">Short % of Float (Jun 14, 2022) </t>
  </si>
  <si>
    <t>35.32M</t>
  </si>
  <si>
    <t>37.47M</t>
  </si>
  <si>
    <t>Intel Quick Ratio Historical Data</t>
  </si>
  <si>
    <t>Date</t>
  </si>
  <si>
    <t>Current Assets - Inventory</t>
  </si>
  <si>
    <t>Current Liabilities</t>
  </si>
  <si>
    <t>Quick Ratio</t>
  </si>
  <si>
    <t>$50.63B</t>
  </si>
  <si>
    <t>$29.32B</t>
  </si>
  <si>
    <t>$47.78B</t>
  </si>
  <si>
    <t>$27.46B</t>
  </si>
  <si>
    <t>$51.51B</t>
  </si>
  <si>
    <t>$29.57B</t>
  </si>
  <si>
    <t>$40.56B</t>
  </si>
  <si>
    <t>$24.84B</t>
  </si>
  <si>
    <t>$37.29B</t>
  </si>
  <si>
    <t>$24.15B</t>
  </si>
  <si>
    <t>$38.82B</t>
  </si>
  <si>
    <t>$24.75B</t>
  </si>
  <si>
    <t>$27.51B</t>
  </si>
  <si>
    <t>$22.11B</t>
  </si>
  <si>
    <t>$35.42B</t>
  </si>
  <si>
    <t>$22.48B</t>
  </si>
  <si>
    <t>$32.26B</t>
  </si>
  <si>
    <t>$23.90B</t>
  </si>
  <si>
    <t>$22.50B</t>
  </si>
  <si>
    <t>$22.31B</t>
  </si>
  <si>
    <t>$21.32B</t>
  </si>
  <si>
    <t>$25.06B</t>
  </si>
  <si>
    <t>$20.54B</t>
  </si>
  <si>
    <t>$19.71B</t>
  </si>
  <si>
    <t>$21.30B</t>
  </si>
  <si>
    <t>$18.91B</t>
  </si>
  <si>
    <t>$21.53B</t>
  </si>
  <si>
    <t>$16.63B</t>
  </si>
  <si>
    <t>Intel Current Ratio Historical Data</t>
  </si>
  <si>
    <t>Current Assets</t>
  </si>
  <si>
    <t>Current Ratio</t>
  </si>
  <si>
    <t>$62.57B</t>
  </si>
  <si>
    <t>$58.56B</t>
  </si>
  <si>
    <t>$61.30B</t>
  </si>
  <si>
    <t>$49.37B</t>
  </si>
  <si>
    <t>$45.77B</t>
  </si>
  <si>
    <t>$47.25B</t>
  </si>
  <si>
    <t>$36.79B</t>
  </si>
  <si>
    <t>$44.39B</t>
  </si>
  <si>
    <t>$41.50B</t>
  </si>
  <si>
    <t>$31.24B</t>
  </si>
  <si>
    <t>$29.96B</t>
  </si>
  <si>
    <t>$29.24B</t>
  </si>
  <si>
    <t>$29.06B</t>
  </si>
  <si>
    <t>$28.79B</t>
  </si>
  <si>
    <t>Intel Debt/Equity Ratio Historical Data</t>
  </si>
  <si>
    <t>Long Term Debt</t>
  </si>
  <si>
    <t>Shareholder's Equity</t>
  </si>
  <si>
    <t>Debt to Equity Ratio</t>
  </si>
  <si>
    <t>$73.22B</t>
  </si>
  <si>
    <t>$103.14B</t>
  </si>
  <si>
    <t>$73.02B</t>
  </si>
  <si>
    <t>$95.39B</t>
  </si>
  <si>
    <t>$77.88B</t>
  </si>
  <si>
    <t>$90.09B</t>
  </si>
  <si>
    <t>$69.39B</t>
  </si>
  <si>
    <t>$85.21B</t>
  </si>
  <si>
    <t>$70.82B</t>
  </si>
  <si>
    <t>$79.81B</t>
  </si>
  <si>
    <t>$72.05B</t>
  </si>
  <si>
    <t>$81.04B</t>
  </si>
  <si>
    <t>$70.71B</t>
  </si>
  <si>
    <t>$74.55B</t>
  </si>
  <si>
    <t>$70.53B</t>
  </si>
  <si>
    <t>$82.01B</t>
  </si>
  <si>
    <t>$71.36B</t>
  </si>
  <si>
    <t>$76.35B</t>
  </si>
  <si>
    <t>$59.02B</t>
  </si>
  <si>
    <t>$77.50B</t>
  </si>
  <si>
    <t>$59.53B</t>
  </si>
  <si>
    <t>$74.24B</t>
  </si>
  <si>
    <t>$55.81B</t>
  </si>
  <si>
    <t>$74.95B</t>
  </si>
  <si>
    <t>$55.80B</t>
  </si>
  <si>
    <t>$73.66B</t>
  </si>
  <si>
    <t>$53.40B</t>
  </si>
  <si>
    <t>$74.56B</t>
  </si>
  <si>
    <t>Book Value Per Share (mrq)</t>
  </si>
  <si>
    <t>Total Cash (mrq)</t>
  </si>
  <si>
    <t>38.7B</t>
  </si>
  <si>
    <t>Total Debt (mrq)</t>
  </si>
  <si>
    <t>37.25B</t>
  </si>
  <si>
    <t>Intel ROA - Return on Assets Historical Data</t>
  </si>
  <si>
    <t>TTM Net Income</t>
  </si>
  <si>
    <t>Total Assets</t>
  </si>
  <si>
    <t>Return on Assets</t>
  </si>
  <si>
    <t>$24.62B</t>
  </si>
  <si>
    <t>$176.36B</t>
  </si>
  <si>
    <t>$19.87B</t>
  </si>
  <si>
    <t>$168.41B</t>
  </si>
  <si>
    <t>$21.10B</t>
  </si>
  <si>
    <t>$167.96B</t>
  </si>
  <si>
    <t>$18.56B</t>
  </si>
  <si>
    <t>$154.60B</t>
  </si>
  <si>
    <t>$18.60B</t>
  </si>
  <si>
    <t>$150.62B</t>
  </si>
  <si>
    <t>$20.90B</t>
  </si>
  <si>
    <t>$153.09B</t>
  </si>
  <si>
    <t>$21.95B</t>
  </si>
  <si>
    <t>$145.26B</t>
  </si>
  <si>
    <t>$23.66B</t>
  </si>
  <si>
    <t>$152.54B</t>
  </si>
  <si>
    <t>$22.74B</t>
  </si>
  <si>
    <t>$147.71B</t>
  </si>
  <si>
    <t>$21.05B</t>
  </si>
  <si>
    <t>$136.52B</t>
  </si>
  <si>
    <t>$19.34B</t>
  </si>
  <si>
    <t>$133.77B</t>
  </si>
  <si>
    <t>$19.75B</t>
  </si>
  <si>
    <t>$130.76B</t>
  </si>
  <si>
    <t>$20.57B</t>
  </si>
  <si>
    <t>$129.46B</t>
  </si>
  <si>
    <t>$127.96B</t>
  </si>
  <si>
    <t>Intel ROE - Return on Equity Historical Data</t>
  </si>
  <si>
    <t>Return on Equity</t>
  </si>
  <si>
    <t xml:space="preserve">Fiscal Period: April </t>
  </si>
  <si>
    <t>10 377</t>
  </si>
  <si>
    <t>10 182</t>
  </si>
  <si>
    <t>8 973</t>
  </si>
  <si>
    <t>10 885</t>
  </si>
  <si>
    <t>10 991</t>
  </si>
  <si>
    <t>11 192</t>
  </si>
  <si>
    <t>1 146</t>
  </si>
  <si>
    <t>1 223</t>
  </si>
  <si>
    <t>1 220</t>
  </si>
  <si>
    <t>1 129</t>
  </si>
  <si>
    <t>1 142</t>
  </si>
  <si>
    <t>5,79%</t>
  </si>
  <si>
    <t>5,80%</t>
  </si>
  <si>
    <t>2,34%</t>
  </si>
  <si>
    <t>6,51%</t>
  </si>
  <si>
    <t>5,47%</t>
  </si>
  <si>
    <t>5,59%</t>
  </si>
  <si>
    <t>33,5</t>
  </si>
  <si>
    <t>23,7</t>
  </si>
  <si>
    <t>0,32%</t>
  </si>
  <si>
    <t>0,23%</t>
  </si>
  <si>
    <t>-2,21%</t>
  </si>
  <si>
    <t>2,82%</t>
  </si>
  <si>
    <t>2,66%</t>
  </si>
  <si>
    <t>2,86%</t>
  </si>
  <si>
    <t>0,02</t>
  </si>
  <si>
    <t>0,01</t>
  </si>
  <si>
    <t>-0,10</t>
  </si>
  <si>
    <t>0,15</t>
  </si>
  <si>
    <t>0,16</t>
  </si>
  <si>
    <r>
      <t>1</t>
    </r>
    <r>
      <rPr>
        <sz val="11"/>
        <color theme="1"/>
        <rFont val="Calibri"/>
        <family val="2"/>
        <scheme val="minor"/>
      </rPr>
      <t xml:space="preserve">GBP in Million </t>
    </r>
    <r>
      <rPr>
        <vertAlign val="superscript"/>
        <sz val="11"/>
        <color theme="1"/>
        <rFont val="Calibri"/>
        <family val="2"/>
        <scheme val="minor"/>
      </rPr>
      <t>2</t>
    </r>
    <r>
      <rPr>
        <sz val="11"/>
        <color theme="1"/>
        <rFont val="Calibri"/>
        <family val="2"/>
        <scheme val="minor"/>
      </rPr>
      <t>GBP</t>
    </r>
  </si>
  <si>
    <t>136x</t>
  </si>
  <si>
    <t>78,3x</t>
  </si>
  <si>
    <t>-15,1x</t>
  </si>
  <si>
    <t>10,5x</t>
  </si>
  <si>
    <t>9,08x</t>
  </si>
  <si>
    <t>8,40x</t>
  </si>
  <si>
    <t>4 633</t>
  </si>
  <si>
    <t>1 831</t>
  </si>
  <si>
    <t>2 979</t>
  </si>
  <si>
    <t>3 093</t>
  </si>
  <si>
    <t>0,45x</t>
  </si>
  <si>
    <t>0,18x</t>
  </si>
  <si>
    <t>0,33x</t>
  </si>
  <si>
    <t>0,28x</t>
  </si>
  <si>
    <t>0,25x</t>
  </si>
  <si>
    <t>0,24x</t>
  </si>
  <si>
    <t>6 178</t>
  </si>
  <si>
    <t>5 857</t>
  </si>
  <si>
    <t>6 495</t>
  </si>
  <si>
    <t>5 792</t>
  </si>
  <si>
    <t>5 336</t>
  </si>
  <si>
    <t>5 283</t>
  </si>
  <si>
    <t>0,60x</t>
  </si>
  <si>
    <t>0,58x</t>
  </si>
  <si>
    <t>0,72x</t>
  </si>
  <si>
    <t>0,53x</t>
  </si>
  <si>
    <t>0,49x</t>
  </si>
  <si>
    <t>5,39x</t>
  </si>
  <si>
    <t>4,79x</t>
  </si>
  <si>
    <t>7,99x</t>
  </si>
  <si>
    <t>4,75x</t>
  </si>
  <si>
    <t>4,72x</t>
  </si>
  <si>
    <t>4,63x</t>
  </si>
  <si>
    <r>
      <t>1</t>
    </r>
    <r>
      <rPr>
        <sz val="11"/>
        <color theme="1"/>
        <rFont val="Calibri"/>
        <family val="2"/>
        <scheme val="minor"/>
      </rPr>
      <t>GBP in Million</t>
    </r>
  </si>
  <si>
    <t>1 545</t>
  </si>
  <si>
    <t>4 025</t>
  </si>
  <si>
    <t>3 516</t>
  </si>
  <si>
    <t>2 699</t>
  </si>
  <si>
    <t>2 622</t>
  </si>
  <si>
    <t>2 569</t>
  </si>
  <si>
    <t>1,35x</t>
  </si>
  <si>
    <t>3,29x</t>
  </si>
  <si>
    <t>4,33x</t>
  </si>
  <si>
    <t>2,21x</t>
  </si>
  <si>
    <t>2,32x</t>
  </si>
  <si>
    <t>2,25x</t>
  </si>
  <si>
    <t>2021 S2</t>
  </si>
  <si>
    <t>2022 S1</t>
  </si>
  <si>
    <t>2022 S2</t>
  </si>
  <si>
    <t>2023 S1</t>
  </si>
  <si>
    <t>4 882</t>
  </si>
  <si>
    <t>5 105</t>
  </si>
  <si>
    <t>3 271</t>
  </si>
  <si>
    <t>2 547</t>
  </si>
  <si>
    <t>5 780</t>
  </si>
  <si>
    <t>5 246</t>
  </si>
  <si>
    <t>EBITDA</t>
  </si>
  <si>
    <t>Operating profit (EBIT)</t>
  </si>
  <si>
    <t>3,03%</t>
  </si>
  <si>
    <t>7,11%</t>
  </si>
  <si>
    <t>5,98%</t>
  </si>
  <si>
    <t>5,20%</t>
  </si>
  <si>
    <t>Net income</t>
  </si>
  <si>
    <t>3,13%</t>
  </si>
  <si>
    <t>UK Food</t>
  </si>
  <si>
    <t>6 138.50</t>
  </si>
  <si>
    <t>6 639.60</t>
  </si>
  <si>
    <t>UK Clothing &amp; Home</t>
  </si>
  <si>
    <t>2 239.00</t>
  </si>
  <si>
    <t>3 308.30</t>
  </si>
  <si>
    <t>International</t>
  </si>
  <si>
    <t>GBP in Million</t>
  </si>
  <si>
    <t>United Kingdom</t>
  </si>
  <si>
    <t>8 377.50</t>
  </si>
  <si>
    <t>9 971.80</t>
  </si>
  <si>
    <t>Consumer Cyclical</t>
  </si>
  <si>
    <t>Department Stores</t>
  </si>
  <si>
    <t>London</t>
  </si>
  <si>
    <t>2.707B</t>
  </si>
  <si>
    <t>N/A (N/A)</t>
  </si>
  <si>
    <t>5.43B</t>
  </si>
  <si>
    <t>1.21B</t>
  </si>
  <si>
    <t>3.81B</t>
  </si>
  <si>
    <t>N/A</t>
  </si>
  <si>
    <t xml:space="preserve">Shares Short  </t>
  </si>
  <si>
    <t xml:space="preserve">Shares Short (prior month ) </t>
  </si>
  <si>
    <t xml:space="preserve">Short Ratio  </t>
  </si>
  <si>
    <t xml:space="preserve">Short % of Float  </t>
  </si>
  <si>
    <t>8.12M</t>
  </si>
  <si>
    <t>9.13M</t>
  </si>
  <si>
    <t>Marks And Spencer Group Current Ratio Historical Data</t>
  </si>
  <si>
    <t>$2.86B</t>
  </si>
  <si>
    <t>$3.32B</t>
  </si>
  <si>
    <t>$2.09B</t>
  </si>
  <si>
    <t>$3.00B</t>
  </si>
  <si>
    <t>$1.65B</t>
  </si>
  <si>
    <t>$2.66B</t>
  </si>
  <si>
    <t>$1.55B</t>
  </si>
  <si>
    <t>$2.35B</t>
  </si>
  <si>
    <t>$2.05B</t>
  </si>
  <si>
    <t>$2.78B</t>
  </si>
  <si>
    <t>$1.96B</t>
  </si>
  <si>
    <t>$2.93B</t>
  </si>
  <si>
    <t>$1.75B</t>
  </si>
  <si>
    <t>$2.42B</t>
  </si>
  <si>
    <t>$2.13B</t>
  </si>
  <si>
    <t>$3.07B</t>
  </si>
  <si>
    <t>$2.25B</t>
  </si>
  <si>
    <t>$3.10B</t>
  </si>
  <si>
    <t>$2.20B</t>
  </si>
  <si>
    <t>$3.18B</t>
  </si>
  <si>
    <t>$3.52B</t>
  </si>
  <si>
    <t>$3.41B</t>
  </si>
  <si>
    <t>$2.62B</t>
  </si>
  <si>
    <t>$4.06B</t>
  </si>
  <si>
    <t>$2.18B</t>
  </si>
  <si>
    <t>$3.74B</t>
  </si>
  <si>
    <t>Marks And Spencer Group Quick Ratio Historical Data</t>
  </si>
  <si>
    <t>$1.79B</t>
  </si>
  <si>
    <t>$1.27B</t>
  </si>
  <si>
    <t>$0.79B</t>
  </si>
  <si>
    <t>$0.83B</t>
  </si>
  <si>
    <t>$1.04B</t>
  </si>
  <si>
    <t>$0.71B</t>
  </si>
  <si>
    <t>$0.93B</t>
  </si>
  <si>
    <t>$1.26B</t>
  </si>
  <si>
    <t>$1.00B</t>
  </si>
  <si>
    <t>$1.03B</t>
  </si>
  <si>
    <t>$1.06B</t>
  </si>
  <si>
    <t>Marks And Spencer Group Debt/Equity Ratio Historical Data</t>
  </si>
  <si>
    <t>$9.02B</t>
  </si>
  <si>
    <t>$3.49B</t>
  </si>
  <si>
    <t>$8.31B</t>
  </si>
  <si>
    <t>$2.99B</t>
  </si>
  <si>
    <t>$8.07B</t>
  </si>
  <si>
    <t>$3.50B</t>
  </si>
  <si>
    <t>$8.23B</t>
  </si>
  <si>
    <t>$4.72B</t>
  </si>
  <si>
    <t>$8.24B</t>
  </si>
  <si>
    <t>$3.84B</t>
  </si>
  <si>
    <t>$5.93B</t>
  </si>
  <si>
    <t>$6.10B</t>
  </si>
  <si>
    <t>$3.92B</t>
  </si>
  <si>
    <t>$6.59B</t>
  </si>
  <si>
    <t>$3.77B</t>
  </si>
  <si>
    <t>$6.72B</t>
  </si>
  <si>
    <t>$4.12B</t>
  </si>
  <si>
    <t>$7.59B</t>
  </si>
  <si>
    <t>$5.19B</t>
  </si>
  <si>
    <t>$7.92B</t>
  </si>
  <si>
    <t>$4.75B</t>
  </si>
  <si>
    <t>$5.16B</t>
  </si>
  <si>
    <t>$8.74B</t>
  </si>
  <si>
    <t>$4.66B</t>
  </si>
  <si>
    <t>$8.26B</t>
  </si>
  <si>
    <t>$4.30B</t>
  </si>
  <si>
    <t>Marks And Spencer Group ROA - Return on Assets Historical Data</t>
  </si>
  <si>
    <t>Marks and Spencer Group PLC is a United Kingdom-based retail company, which is focused on own label businesses, including food, clothing and home and, bank and services in the United Kingdom and internationally. The Company operates in three segments: UK Clothing &amp; Home, UK Food, International, and Ocado. The UK Clothing &amp; Home segment is engaged in retailing of womenswear, menswear, lingerie, kids wear, and home products through UK retail stores and online. The UK Food segment includes UK retail food business and UK Food franchise operations, which consists of five categories, including protein deli and dairy; produce; ambient and in-store bakery; meals, dessert and frozen; and hospitality and Food on the Move, and direct sales to Ocado Retail Limited. The International segment consists of Marks and Spencer owned businesses in Europe and Asia and the international franchise operations. The Ocado segment includes investment in Ocado Retail Limited._x000D_
_x000D_
Number of employees : 66 210 people.</t>
  </si>
  <si>
    <t>Marks &amp; Spencer</t>
  </si>
  <si>
    <t>Marks And Spencer Group ROE - Return on Equity Historical Data</t>
  </si>
  <si>
    <t>33,8%</t>
  </si>
  <si>
    <t>11,8x</t>
  </si>
  <si>
    <t>2023 Q4</t>
  </si>
  <si>
    <t>8 288</t>
  </si>
  <si>
    <t>3 955</t>
  </si>
  <si>
    <t>1 618</t>
  </si>
  <si>
    <t>19,5%</t>
  </si>
  <si>
    <t>NVIDIA Current Ratio Historical Data</t>
  </si>
  <si>
    <t>$29.58B</t>
  </si>
  <si>
    <t>$5.56B</t>
  </si>
  <si>
    <t>$28.83B</t>
  </si>
  <si>
    <t>$4.34B</t>
  </si>
  <si>
    <t>$25.81B</t>
  </si>
  <si>
    <t>$3.61B</t>
  </si>
  <si>
    <t>$4.45B</t>
  </si>
  <si>
    <t>$18.13B</t>
  </si>
  <si>
    <t>$4.00B</t>
  </si>
  <si>
    <t>$16.06B</t>
  </si>
  <si>
    <t>$3.93B</t>
  </si>
  <si>
    <t>$14.39B</t>
  </si>
  <si>
    <t>$3.67B</t>
  </si>
  <si>
    <t>$14.68B</t>
  </si>
  <si>
    <t>$2.41B</t>
  </si>
  <si>
    <t>$19.58B</t>
  </si>
  <si>
    <t>$1.90B</t>
  </si>
  <si>
    <t>$13.69B</t>
  </si>
  <si>
    <t>$1.78B</t>
  </si>
  <si>
    <t>$12.42B</t>
  </si>
  <si>
    <t>$1.48B</t>
  </si>
  <si>
    <t>$11.39B</t>
  </si>
  <si>
    <t>$1.32B</t>
  </si>
  <si>
    <t>$10.63B</t>
  </si>
  <si>
    <t>$1.18B</t>
  </si>
  <si>
    <t>NVIDIA Quick Ratio Historical Data</t>
  </si>
  <si>
    <t>$26.41B</t>
  </si>
  <si>
    <t>$26.22B</t>
  </si>
  <si>
    <t>$23.57B</t>
  </si>
  <si>
    <t>$23.69B</t>
  </si>
  <si>
    <t>$16.14B</t>
  </si>
  <si>
    <t>$14.23B</t>
  </si>
  <si>
    <t>$12.90B</t>
  </si>
  <si>
    <t>$13.28B</t>
  </si>
  <si>
    <t>$18.46B</t>
  </si>
  <si>
    <t>$12.71B</t>
  </si>
  <si>
    <t>$11.37B</t>
  </si>
  <si>
    <t>$10.19B</t>
  </si>
  <si>
    <t>$9.20B</t>
  </si>
  <si>
    <t>NVIDIA Debt/Equity Ratio Historical Data</t>
  </si>
  <si>
    <t>$18.89B</t>
  </si>
  <si>
    <t>$26.32B</t>
  </si>
  <si>
    <t>$17.58B</t>
  </si>
  <si>
    <t>$26.61B</t>
  </si>
  <si>
    <t>$16.83B</t>
  </si>
  <si>
    <t>$23.80B</t>
  </si>
  <si>
    <t>$17.50B</t>
  </si>
  <si>
    <t>$21.15B</t>
  </si>
  <si>
    <t>$12.02B</t>
  </si>
  <si>
    <t>$18.77B</t>
  </si>
  <si>
    <t>$11.90B</t>
  </si>
  <si>
    <t>$16.89B</t>
  </si>
  <si>
    <t>$11.55B</t>
  </si>
  <si>
    <t>$15.33B</t>
  </si>
  <si>
    <t>$11.27B</t>
  </si>
  <si>
    <t>$13.91B</t>
  </si>
  <si>
    <t>$10.16B</t>
  </si>
  <si>
    <t>$13.10B</t>
  </si>
  <si>
    <t>$5.11B</t>
  </si>
  <si>
    <t>$12.20B</t>
  </si>
  <si>
    <t>$4.60B</t>
  </si>
  <si>
    <t>$11.21B</t>
  </si>
  <si>
    <t>$4.44B</t>
  </si>
  <si>
    <t>$10.34B</t>
  </si>
  <si>
    <t>$4.32B</t>
  </si>
  <si>
    <t>$9.70B</t>
  </si>
  <si>
    <t>NVIDIA ROA - Return on Assets Historical Data</t>
  </si>
  <si>
    <t>$9.46B</t>
  </si>
  <si>
    <t>$45.21B</t>
  </si>
  <si>
    <t>$9.75B</t>
  </si>
  <si>
    <t>$44.19B</t>
  </si>
  <si>
    <t>$8.21B</t>
  </si>
  <si>
    <t>$40.63B</t>
  </si>
  <si>
    <t>$7.08B</t>
  </si>
  <si>
    <t>$38.65B</t>
  </si>
  <si>
    <t>$5.33B</t>
  </si>
  <si>
    <t>$30.80B</t>
  </si>
  <si>
    <t>$4.33B</t>
  </si>
  <si>
    <t>$3.83B</t>
  </si>
  <si>
    <t>$26.88B</t>
  </si>
  <si>
    <t>$3.39B</t>
  </si>
  <si>
    <t>$25.18B</t>
  </si>
  <si>
    <t>$23.25B</t>
  </si>
  <si>
    <t>$2.80B</t>
  </si>
  <si>
    <t>$17.32B</t>
  </si>
  <si>
    <t>$15.81B</t>
  </si>
  <si>
    <t>$2.74B</t>
  </si>
  <si>
    <t>$14.78B</t>
  </si>
  <si>
    <t>$3.29B</t>
  </si>
  <si>
    <t>$14.02B</t>
  </si>
  <si>
    <t>NVIDIA ROE - Return on Equity Historical Data</t>
  </si>
  <si>
    <t>volume</t>
  </si>
  <si>
    <t xml:space="preserve">Shares Short (Sep 14, 2022) </t>
  </si>
  <si>
    <t xml:space="preserve">Shares Short (prior month Aug 14, 2022) </t>
  </si>
  <si>
    <t xml:space="preserve">Short Ratio (Sep 14, 2022) </t>
  </si>
  <si>
    <t xml:space="preserve">Short % of Float (Sep 14, 2022) </t>
  </si>
  <si>
    <t>NVIDIA</t>
  </si>
  <si>
    <t>Nov 15, 2022 - Nov 21, 2022</t>
  </si>
  <si>
    <t>0.16 (0.13%)</t>
  </si>
  <si>
    <t>296.92B</t>
  </si>
  <si>
    <t>17.04B</t>
  </si>
  <si>
    <t>11.84B</t>
  </si>
  <si>
    <t>30.72M</t>
  </si>
  <si>
    <t>31.32M</t>
  </si>
  <si>
    <t>55.72M</t>
  </si>
  <si>
    <t>61.01M</t>
  </si>
  <si>
    <t>$27.42B</t>
  </si>
  <si>
    <t>$7.57B</t>
  </si>
  <si>
    <t>$23.53B</t>
  </si>
  <si>
    <t>$19.63B</t>
  </si>
  <si>
    <t>$23.85B</t>
  </si>
  <si>
    <t>$7.74B</t>
  </si>
  <si>
    <t>$43.48B</t>
  </si>
  <si>
    <t>2024 Q1</t>
  </si>
  <si>
    <t>6 704</t>
  </si>
  <si>
    <t>5 858</t>
  </si>
  <si>
    <t>6 225</t>
  </si>
  <si>
    <t>6 754</t>
  </si>
  <si>
    <t>1 325</t>
  </si>
  <si>
    <t>1 978</t>
  </si>
  <si>
    <t>2 236</t>
  </si>
  <si>
    <t>2 645</t>
  </si>
  <si>
    <t>19,8%</t>
  </si>
  <si>
    <t>35,9%</t>
  </si>
  <si>
    <t>39,2%</t>
  </si>
  <si>
    <t>1 024</t>
  </si>
  <si>
    <t>1 282</t>
  </si>
  <si>
    <t>1 602</t>
  </si>
  <si>
    <t>9,79%</t>
  </si>
  <si>
    <t>17,5%</t>
  </si>
  <si>
    <t>20,6%</t>
  </si>
  <si>
    <t>1,18</t>
  </si>
  <si>
    <t>0,64</t>
  </si>
  <si>
    <t>0,26</t>
  </si>
  <si>
    <t>0,40</t>
  </si>
  <si>
    <t>0,49</t>
  </si>
  <si>
    <t>-1,50x</t>
  </si>
  <si>
    <t>-1,16x</t>
  </si>
  <si>
    <t>-1,24x</t>
  </si>
  <si>
    <t>9 365</t>
  </si>
  <si>
    <t>11 717</t>
  </si>
  <si>
    <t>16 408</t>
  </si>
  <si>
    <t>73,0x</t>
  </si>
  <si>
    <t>38,2x</t>
  </si>
  <si>
    <t>32,2x</t>
  </si>
  <si>
    <t>327 727</t>
  </si>
  <si>
    <t>12,1x</t>
  </si>
  <si>
    <t>10,4x</t>
  </si>
  <si>
    <t>8,81x</t>
  </si>
  <si>
    <t>318 362</t>
  </si>
  <si>
    <t>316 010</t>
  </si>
  <si>
    <t>311 318</t>
  </si>
  <si>
    <t>10,0x</t>
  </si>
  <si>
    <t>8,37x</t>
  </si>
  <si>
    <t>51,1x</t>
  </si>
  <si>
    <t>31,4x</t>
  </si>
  <si>
    <t>23,5x</t>
  </si>
  <si>
    <t>317.344B</t>
  </si>
  <si>
    <t>NVIDIA Corporation is the world leader in the design, development, and marketing of programmable graphics processors. The group also develops associated software. Net sales break down by family of products as follows:_x000D_
_x000D_
- graphics processors (59%): for PCs, game consoles, video game streaming platforms, workstations, etc. (GeForce, NVIDIA RTX, Quadro brands, etc.). The group also offers laptops, desktops, gaming computers, computer peripherals (monitors, mice, joysticks, remote controls, etc.), software for visual and virtual computing, platforms for automotive infotainment systems and cloud collaboration platforms;_x000D_
_x000D_
- computing and networking solutions (41%): data center platforms and infrastructure, Ethernet interconnect solutions, high-performance computing solutions, platforms and solutions for autonomous and intelligent vehicles, solutions for enterprise artificial intelligence infrastructure, crypto-currency mining processors, embedded computer boards for robotics, teaching, learning and artificial intelligence development, etc._x000D_
_x000D_
Net sales break down by industry between gaming (46.3%), data storage (39.4%), professional visualization (7.8%), automotive (2.1%) and other (4.4%)._x000D_
_x000D_
Net sales break down geographically as follows: the United States (16.2%), Taiwan (31.7%), China (26.4%) and others (25.7%)._x000D_
_x000D_
Number of employees : 22 473 people.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</si>
</sst>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vertAlign val="superscript"/>
      <sz val="11"/>
      <color theme="1"/>
      <name val="Calibri"/>
      <family val="2"/>
      <scheme val="minor"/>
    </font>
    <font>
      <sz val="11"/>
      <color rgb="FFFFFFFF"/>
      <name val="Calibri"/>
      <family val="2"/>
      <scheme val="minor"/>
    </font>
  </fonts>
  <fills count="5">
    <fill>
      <patternFill patternType="none"/>
    </fill>
    <fill>
      <patternFill patternType="gray125"/>
    </fill>
    <fill>
      <patternFill patternType="solid">
        <fgColor rgb="FF00B0F0"/>
        <bgColor indexed="64"/>
      </patternFill>
    </fill>
    <fill>
      <patternFill patternType="solid">
        <fgColor rgb="FFFF5050"/>
        <bgColor indexed="64"/>
      </patternFill>
    </fill>
    <fill>
      <patternFill patternType="solid">
        <fgColor theme="7" tint="0.79995117038483843"/>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9">
    <xf numFmtId="0" fontId="0" fillId="0" borderId="0" xfId="0"/>
    <xf numFmtId="0" fontId="0" fillId="2" borderId="0" xfId="0" applyFill="1"/>
    <xf numFmtId="0" fontId="0" fillId="3" borderId="1" xfId="0" applyFill="1" applyBorder="1"/>
    <xf numFmtId="0" fontId="0" fillId="4" borderId="1" xfId="0" applyFill="1" applyBorder="1"/>
    <xf numFmtId="0" fontId="0" fillId="3" borderId="1" xfId="0" applyFill="1" applyBorder="1" applyAlignment="1">
      <alignment horizontal="left"/>
    </xf>
    <xf numFmtId="0" fontId="0" fillId="3" borderId="1" xfId="0" applyFill="1" applyBorder="1" applyAlignment="1">
      <alignment horizontal="center"/>
    </xf>
    <xf numFmtId="0" fontId="0" fillId="4" borderId="1" xfId="0" applyFill="1" applyBorder="1" applyAlignment="1">
      <alignment horizontal="right"/>
    </xf>
    <xf numFmtId="0" fontId="1" fillId="3" borderId="1" xfId="0" applyFont="1" applyFill="1" applyBorder="1" applyAlignment="1">
      <alignment horizontal="left"/>
    </xf>
    <xf numFmtId="0" fontId="0" fillId="4" borderId="1" xfId="0" applyFill="1" applyBorder="1" applyAlignment="1">
      <alignment horizontal="right" wrapText="1"/>
    </xf>
    <xf numFmtId="3" fontId="0" fillId="4" borderId="1" xfId="0" applyNumberFormat="1" applyFill="1" applyBorder="1" applyAlignment="1">
      <alignment horizontal="right"/>
    </xf>
    <xf numFmtId="15" fontId="0" fillId="4" borderId="1" xfId="0" applyNumberFormat="1" applyFill="1" applyBorder="1" applyAlignment="1">
      <alignment horizontal="right"/>
    </xf>
    <xf numFmtId="10" fontId="0" fillId="0" borderId="0" xfId="0" applyNumberFormat="1"/>
    <xf numFmtId="10" fontId="0" fillId="4" borderId="1" xfId="0" applyNumberFormat="1" applyFill="1" applyBorder="1"/>
    <xf numFmtId="10" fontId="0" fillId="4" borderId="1" xfId="0" applyNumberFormat="1" applyFill="1" applyBorder="1" applyAlignment="1">
      <alignment horizontal="right"/>
    </xf>
    <xf numFmtId="0" fontId="2" fillId="0" borderId="0" xfId="0" applyFont="1"/>
    <xf numFmtId="9" fontId="0" fillId="4" borderId="1" xfId="0" applyNumberFormat="1" applyFill="1" applyBorder="1"/>
    <xf numFmtId="14" fontId="0" fillId="3" borderId="1" xfId="0" applyNumberFormat="1" applyFill="1" applyBorder="1" applyAlignment="1">
      <alignment horizontal="left"/>
    </xf>
    <xf numFmtId="0" fontId="0" fillId="0" borderId="1" xfId="0" applyBorder="1" applyAlignment="1">
      <alignment horizontal="center" vertical="center" wrapText="1"/>
    </xf>
    <xf numFmtId="0" fontId="0" fillId="3" borderId="1" xfId="0"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FF5050"/>
      <color rgb="FFFF5D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numRef>
              <c:f>Mr_Quantitative_INTC!$K$30:$P$30</c:f>
              <c:numCache>
                <c:formatCode>General</c:formatCode>
                <c:ptCount val="6"/>
                <c:pt idx="0">
                  <c:v>2019</c:v>
                </c:pt>
                <c:pt idx="1">
                  <c:v>2020</c:v>
                </c:pt>
                <c:pt idx="2">
                  <c:v>2021</c:v>
                </c:pt>
                <c:pt idx="3">
                  <c:v>2022</c:v>
                </c:pt>
                <c:pt idx="4">
                  <c:v>2023</c:v>
                </c:pt>
                <c:pt idx="5">
                  <c:v>2024</c:v>
                </c:pt>
              </c:numCache>
            </c:numRef>
          </c:cat>
          <c:val>
            <c:numRef>
              <c:f>Mr_Quantitative_INTC!$K$31:$P$31</c:f>
              <c:numCache>
                <c:formatCode>General</c:formatCode>
                <c:ptCount val="6"/>
                <c:pt idx="0">
                  <c:v>71965</c:v>
                </c:pt>
                <c:pt idx="1">
                  <c:v>77867</c:v>
                </c:pt>
                <c:pt idx="2">
                  <c:v>74718</c:v>
                </c:pt>
                <c:pt idx="3">
                  <c:v>74900</c:v>
                </c:pt>
                <c:pt idx="4">
                  <c:v>77383</c:v>
                </c:pt>
                <c:pt idx="5">
                  <c:v>82082</c:v>
                </c:pt>
              </c:numCache>
            </c:numRef>
          </c:val>
          <c:extLst>
            <c:ext xmlns:c16="http://schemas.microsoft.com/office/drawing/2014/chart" uri="{C3380CC4-5D6E-409C-BE32-E72D297353CC}">
              <c16:uniqueId val="{00000000-FCC1-432B-9B98-D60D5718F5B2}"/>
            </c:ext>
          </c:extLst>
        </c:ser>
        <c:ser>
          <c:idx val="2"/>
          <c:order val="2"/>
          <c:spPr>
            <a:solidFill>
              <a:schemeClr val="accent3"/>
            </a:solidFill>
            <a:ln>
              <a:noFill/>
            </a:ln>
            <a:effectLst/>
          </c:spPr>
          <c:invertIfNegative val="0"/>
          <c:extLst>
            <c:ext xmlns:c16="http://schemas.microsoft.com/office/drawing/2014/chart" uri="{C3380CC4-5D6E-409C-BE32-E72D297353CC}">
              <c16:uniqueId val="{00000002-FCC1-432B-9B98-D60D5718F5B2}"/>
            </c:ext>
          </c:extLst>
        </c:ser>
        <c:dLbls>
          <c:showLegendKey val="0"/>
          <c:showVal val="0"/>
          <c:showCatName val="0"/>
          <c:showSerName val="0"/>
          <c:showPercent val="0"/>
          <c:showBubbleSize val="0"/>
        </c:dLbls>
        <c:gapWidth val="219"/>
        <c:overlap val="-27"/>
        <c:axId val="394490335"/>
        <c:axId val="394492831"/>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Mr_Quantitative_INTC!$K$32:$P$32</c:f>
              <c:numCache>
                <c:formatCode>0.00%</c:formatCode>
                <c:ptCount val="6"/>
                <c:pt idx="1">
                  <c:v>8.2012089210032654E-2</c:v>
                </c:pt>
                <c:pt idx="2">
                  <c:v>-4.044075153787869E-2</c:v>
                </c:pt>
                <c:pt idx="3">
                  <c:v>2.4358253700580853E-3</c:v>
                </c:pt>
                <c:pt idx="4">
                  <c:v>3.3150867823765022E-2</c:v>
                </c:pt>
                <c:pt idx="5">
                  <c:v>6.0723931612886549E-2</c:v>
                </c:pt>
              </c:numCache>
            </c:numRef>
          </c:val>
          <c:smooth val="0"/>
          <c:extLst>
            <c:ext xmlns:c16="http://schemas.microsoft.com/office/drawing/2014/chart" uri="{C3380CC4-5D6E-409C-BE32-E72D297353CC}">
              <c16:uniqueId val="{00000001-FCC1-432B-9B98-D60D5718F5B2}"/>
            </c:ext>
          </c:extLst>
        </c:ser>
        <c:dLbls>
          <c:showLegendKey val="0"/>
          <c:showVal val="0"/>
          <c:showCatName val="0"/>
          <c:showSerName val="0"/>
          <c:showPercent val="0"/>
          <c:showBubbleSize val="0"/>
        </c:dLbls>
        <c:marker val="1"/>
        <c:smooth val="0"/>
        <c:axId val="394491999"/>
        <c:axId val="394490751"/>
      </c:lineChart>
      <c:catAx>
        <c:axId val="39449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2831"/>
        <c:crosses val="autoZero"/>
        <c:auto val="1"/>
        <c:lblAlgn val="ctr"/>
        <c:lblOffset val="100"/>
        <c:noMultiLvlLbl val="0"/>
      </c:catAx>
      <c:valAx>
        <c:axId val="394492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0335"/>
        <c:crosses val="autoZero"/>
        <c:crossBetween val="between"/>
      </c:valAx>
      <c:valAx>
        <c:axId val="394490751"/>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91999"/>
        <c:crosses val="max"/>
        <c:crossBetween val="between"/>
      </c:valAx>
      <c:catAx>
        <c:axId val="394491999"/>
        <c:scaling>
          <c:orientation val="minMax"/>
        </c:scaling>
        <c:delete val="1"/>
        <c:axPos val="b"/>
        <c:majorTickMark val="out"/>
        <c:minorTickMark val="none"/>
        <c:tickLblPos val="nextTo"/>
        <c:crossAx val="39449075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strRef>
              <c:f>Mr_Quantitative_NVDA!$K$30:$P$30</c:f>
              <c:strCache>
                <c:ptCount val="6"/>
                <c:pt idx="0">
                  <c:v>2022 Q4</c:v>
                </c:pt>
                <c:pt idx="1">
                  <c:v>2023 Q1</c:v>
                </c:pt>
                <c:pt idx="2">
                  <c:v>2023 Q2</c:v>
                </c:pt>
                <c:pt idx="3">
                  <c:v>2023 Q3</c:v>
                </c:pt>
                <c:pt idx="4">
                  <c:v>2023 Q4</c:v>
                </c:pt>
                <c:pt idx="5">
                  <c:v>2024 Q1</c:v>
                </c:pt>
              </c:strCache>
            </c:strRef>
          </c:cat>
          <c:val>
            <c:numRef>
              <c:f>Mr_Quantitative_NVDA!$K$31:$P$31</c:f>
              <c:numCache>
                <c:formatCode>General</c:formatCode>
                <c:ptCount val="6"/>
                <c:pt idx="0">
                  <c:v>7643</c:v>
                </c:pt>
                <c:pt idx="1">
                  <c:v>8288</c:v>
                </c:pt>
                <c:pt idx="2">
                  <c:v>6704</c:v>
                </c:pt>
                <c:pt idx="3">
                  <c:v>5858</c:v>
                </c:pt>
                <c:pt idx="4">
                  <c:v>6225</c:v>
                </c:pt>
                <c:pt idx="5">
                  <c:v>6754</c:v>
                </c:pt>
              </c:numCache>
            </c:numRef>
          </c:val>
          <c:extLst>
            <c:ext xmlns:c16="http://schemas.microsoft.com/office/drawing/2014/chart" uri="{C3380CC4-5D6E-409C-BE32-E72D297353CC}">
              <c16:uniqueId val="{00000000-C951-4B09-8805-1A29FB70FCBF}"/>
            </c:ext>
          </c:extLst>
        </c:ser>
        <c:ser>
          <c:idx val="2"/>
          <c:order val="2"/>
          <c:spPr>
            <a:solidFill>
              <a:schemeClr val="accent3"/>
            </a:solidFill>
            <a:ln>
              <a:noFill/>
            </a:ln>
            <a:effectLst/>
          </c:spPr>
          <c:invertIfNegative val="0"/>
          <c:extLst>
            <c:ext xmlns:c16="http://schemas.microsoft.com/office/drawing/2014/chart" uri="{C3380CC4-5D6E-409C-BE32-E72D297353CC}">
              <c16:uniqueId val="{00000002-C951-4B09-8805-1A29FB70FCBF}"/>
            </c:ext>
          </c:extLst>
        </c:ser>
        <c:dLbls>
          <c:showLegendKey val="0"/>
          <c:showVal val="0"/>
          <c:showCatName val="0"/>
          <c:showSerName val="0"/>
          <c:showPercent val="0"/>
          <c:showBubbleSize val="0"/>
        </c:dLbls>
        <c:gapWidth val="219"/>
        <c:overlap val="-27"/>
        <c:axId val="1400690751"/>
        <c:axId val="1400691999"/>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Mr_Quantitative_NVDA!$K$32:$P$32</c:f>
              <c:numCache>
                <c:formatCode>0.00%</c:formatCode>
                <c:ptCount val="6"/>
                <c:pt idx="1">
                  <c:v>8.4390945963626854E-2</c:v>
                </c:pt>
                <c:pt idx="2">
                  <c:v>-0.19111969111969113</c:v>
                </c:pt>
                <c:pt idx="3">
                  <c:v>-0.12619331742243436</c:v>
                </c:pt>
                <c:pt idx="4">
                  <c:v>6.2649368385114368E-2</c:v>
                </c:pt>
                <c:pt idx="5">
                  <c:v>8.4979919678714863E-2</c:v>
                </c:pt>
              </c:numCache>
            </c:numRef>
          </c:val>
          <c:smooth val="0"/>
          <c:extLst>
            <c:ext xmlns:c16="http://schemas.microsoft.com/office/drawing/2014/chart" uri="{C3380CC4-5D6E-409C-BE32-E72D297353CC}">
              <c16:uniqueId val="{00000001-C951-4B09-8805-1A29FB70FCBF}"/>
            </c:ext>
          </c:extLst>
        </c:ser>
        <c:dLbls>
          <c:showLegendKey val="0"/>
          <c:showVal val="0"/>
          <c:showCatName val="0"/>
          <c:showSerName val="0"/>
          <c:showPercent val="0"/>
          <c:showBubbleSize val="0"/>
        </c:dLbls>
        <c:marker val="1"/>
        <c:smooth val="0"/>
        <c:axId val="796603791"/>
        <c:axId val="796601295"/>
      </c:lineChart>
      <c:catAx>
        <c:axId val="140069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691999"/>
        <c:crosses val="autoZero"/>
        <c:auto val="1"/>
        <c:lblAlgn val="ctr"/>
        <c:lblOffset val="100"/>
        <c:noMultiLvlLbl val="0"/>
      </c:catAx>
      <c:valAx>
        <c:axId val="1400691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690751"/>
        <c:crosses val="autoZero"/>
        <c:crossBetween val="between"/>
      </c:valAx>
      <c:valAx>
        <c:axId val="796601295"/>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603791"/>
        <c:crosses val="max"/>
        <c:crossBetween val="between"/>
      </c:valAx>
      <c:catAx>
        <c:axId val="796603791"/>
        <c:scaling>
          <c:orientation val="minMax"/>
        </c:scaling>
        <c:delete val="1"/>
        <c:axPos val="b"/>
        <c:majorTickMark val="out"/>
        <c:minorTickMark val="none"/>
        <c:tickLblPos val="nextTo"/>
        <c:crossAx val="7966012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Numbers</c:v>
          </c:tx>
          <c:spPr>
            <a:solidFill>
              <a:schemeClr val="accent1"/>
            </a:solidFill>
            <a:ln>
              <a:noFill/>
            </a:ln>
            <a:effectLst/>
          </c:spPr>
          <c:invertIfNegative val="0"/>
          <c:cat>
            <c:numRef>
              <c:f>Mr_Quantitative_MKS.L!$K$30:$P$30</c:f>
              <c:numCache>
                <c:formatCode>General</c:formatCode>
                <c:ptCount val="6"/>
                <c:pt idx="0">
                  <c:v>2019</c:v>
                </c:pt>
                <c:pt idx="1">
                  <c:v>2020</c:v>
                </c:pt>
                <c:pt idx="2">
                  <c:v>2021</c:v>
                </c:pt>
                <c:pt idx="3">
                  <c:v>2022</c:v>
                </c:pt>
                <c:pt idx="4">
                  <c:v>2023</c:v>
                </c:pt>
                <c:pt idx="5">
                  <c:v>2024</c:v>
                </c:pt>
              </c:numCache>
            </c:numRef>
          </c:cat>
          <c:val>
            <c:numRef>
              <c:f>Mr_Quantitative_MKS.L!$K$31:$P$31</c:f>
              <c:numCache>
                <c:formatCode>General</c:formatCode>
                <c:ptCount val="6"/>
                <c:pt idx="0">
                  <c:v>10377</c:v>
                </c:pt>
                <c:pt idx="1">
                  <c:v>10182</c:v>
                </c:pt>
                <c:pt idx="2">
                  <c:v>8973</c:v>
                </c:pt>
                <c:pt idx="3">
                  <c:v>10885</c:v>
                </c:pt>
                <c:pt idx="4">
                  <c:v>10991</c:v>
                </c:pt>
                <c:pt idx="5">
                  <c:v>11192</c:v>
                </c:pt>
              </c:numCache>
            </c:numRef>
          </c:val>
          <c:extLst>
            <c:ext xmlns:c16="http://schemas.microsoft.com/office/drawing/2014/chart" uri="{C3380CC4-5D6E-409C-BE32-E72D297353CC}">
              <c16:uniqueId val="{00000000-7FE4-46C0-B052-0082F209FE17}"/>
            </c:ext>
          </c:extLst>
        </c:ser>
        <c:ser>
          <c:idx val="2"/>
          <c:order val="2"/>
          <c:spPr>
            <a:solidFill>
              <a:schemeClr val="accent3"/>
            </a:solidFill>
            <a:ln>
              <a:noFill/>
            </a:ln>
            <a:effectLst/>
          </c:spPr>
          <c:invertIfNegative val="0"/>
          <c:extLst>
            <c:ext xmlns:c16="http://schemas.microsoft.com/office/drawing/2014/chart" uri="{C3380CC4-5D6E-409C-BE32-E72D297353CC}">
              <c16:uniqueId val="{00000002-7FE4-46C0-B052-0082F209FE17}"/>
            </c:ext>
          </c:extLst>
        </c:ser>
        <c:dLbls>
          <c:showLegendKey val="0"/>
          <c:showVal val="0"/>
          <c:showCatName val="0"/>
          <c:showSerName val="0"/>
          <c:showPercent val="0"/>
          <c:showBubbleSize val="0"/>
        </c:dLbls>
        <c:gapWidth val="219"/>
        <c:overlap val="-27"/>
        <c:axId val="51977840"/>
        <c:axId val="51979088"/>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Mr_Quantitative_MKS.L!$K$32:$P$32</c:f>
              <c:numCache>
                <c:formatCode>0.00%</c:formatCode>
                <c:ptCount val="6"/>
                <c:pt idx="1">
                  <c:v>-1.8791558253830588E-2</c:v>
                </c:pt>
                <c:pt idx="2">
                  <c:v>-0.1187389510901591</c:v>
                </c:pt>
                <c:pt idx="3">
                  <c:v>0.21308369553103756</c:v>
                </c:pt>
                <c:pt idx="4">
                  <c:v>9.7381717960496102E-3</c:v>
                </c:pt>
                <c:pt idx="5">
                  <c:v>1.8287689928123008E-2</c:v>
                </c:pt>
              </c:numCache>
            </c:numRef>
          </c:val>
          <c:smooth val="0"/>
          <c:extLst>
            <c:ext xmlns:c16="http://schemas.microsoft.com/office/drawing/2014/chart" uri="{C3380CC4-5D6E-409C-BE32-E72D297353CC}">
              <c16:uniqueId val="{00000001-7FE4-46C0-B052-0082F209FE17}"/>
            </c:ext>
          </c:extLst>
        </c:ser>
        <c:dLbls>
          <c:showLegendKey val="0"/>
          <c:showVal val="0"/>
          <c:showCatName val="0"/>
          <c:showSerName val="0"/>
          <c:showPercent val="0"/>
          <c:showBubbleSize val="0"/>
        </c:dLbls>
        <c:marker val="1"/>
        <c:smooth val="0"/>
        <c:axId val="1915205424"/>
        <c:axId val="51979920"/>
      </c:lineChart>
      <c:catAx>
        <c:axId val="51977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088"/>
        <c:crosses val="autoZero"/>
        <c:auto val="1"/>
        <c:lblAlgn val="ctr"/>
        <c:lblOffset val="100"/>
        <c:noMultiLvlLbl val="0"/>
      </c:catAx>
      <c:valAx>
        <c:axId val="51979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7840"/>
        <c:crosses val="autoZero"/>
        <c:crossBetween val="between"/>
      </c:valAx>
      <c:valAx>
        <c:axId val="51979920"/>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205424"/>
        <c:crosses val="max"/>
        <c:crossBetween val="between"/>
      </c:valAx>
      <c:catAx>
        <c:axId val="1915205424"/>
        <c:scaling>
          <c:orientation val="minMax"/>
        </c:scaling>
        <c:delete val="1"/>
        <c:axPos val="b"/>
        <c:majorTickMark val="out"/>
        <c:minorTickMark val="none"/>
        <c:tickLblPos val="nextTo"/>
        <c:crossAx val="5197992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9</xdr:col>
      <xdr:colOff>0</xdr:colOff>
      <xdr:row>3</xdr:row>
      <xdr:rowOff>0</xdr:rowOff>
    </xdr:from>
    <xdr:to>
      <xdr:col>22</xdr:col>
      <xdr:colOff>0</xdr:colOff>
      <xdr:row>28</xdr:row>
      <xdr:rowOff>0</xdr:rowOff>
    </xdr:to>
    <xdr:graphicFrame macro="">
      <xdr:nvGraphicFramePr>
        <xdr:cNvPr id="42" name="Chart 41">
          <a:extLst>
            <a:ext uri="{FF2B5EF4-FFF2-40B4-BE49-F238E27FC236}">
              <a16:creationId xmlns:a16="http://schemas.microsoft.com/office/drawing/2014/main" id="{247E30D2-46CB-47C0-7EA0-AE0D1136E3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3</xdr:row>
      <xdr:rowOff>0</xdr:rowOff>
    </xdr:from>
    <xdr:to>
      <xdr:col>22</xdr:col>
      <xdr:colOff>0</xdr:colOff>
      <xdr:row>28</xdr:row>
      <xdr:rowOff>0</xdr:rowOff>
    </xdr:to>
    <xdr:graphicFrame macro="">
      <xdr:nvGraphicFramePr>
        <xdr:cNvPr id="7" name="Chart 6">
          <a:extLst>
            <a:ext uri="{FF2B5EF4-FFF2-40B4-BE49-F238E27FC236}">
              <a16:creationId xmlns:a16="http://schemas.microsoft.com/office/drawing/2014/main" id="{8DC1030D-B21F-6EFE-01F6-54763D245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3</xdr:row>
      <xdr:rowOff>0</xdr:rowOff>
    </xdr:from>
    <xdr:to>
      <xdr:col>22</xdr:col>
      <xdr:colOff>0</xdr:colOff>
      <xdr:row>28</xdr:row>
      <xdr:rowOff>0</xdr:rowOff>
    </xdr:to>
    <xdr:graphicFrame macro="">
      <xdr:nvGraphicFramePr>
        <xdr:cNvPr id="4" name="Chart 3">
          <a:extLst>
            <a:ext uri="{FF2B5EF4-FFF2-40B4-BE49-F238E27FC236}">
              <a16:creationId xmlns:a16="http://schemas.microsoft.com/office/drawing/2014/main" id="{1B29C641-DC65-CCF6-67F7-2001B01331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FA710-656D-4588-873F-166A141F1358}">
  <sheetPr codeName="Sheet3"/>
  <dimension ref="A2:P142"/>
  <sheetViews>
    <sheetView showGridLines="0" zoomScale="85" zoomScaleNormal="85" workbookViewId="0">
      <selection activeCell="H64" sqref="H64"/>
    </sheetView>
  </sheetViews>
  <sheetFormatPr defaultRowHeight="15" customHeight="1" x14ac:dyDescent="0.25"/>
  <cols>
    <col min="1" max="1" width="9.7109375" customWidth="1"/>
    <col min="2" max="2" width="42.28515625" bestFit="1" customWidth="1"/>
    <col min="3" max="3" width="24.85546875" bestFit="1" customWidth="1"/>
    <col min="4" max="4" width="20.28515625" bestFit="1" customWidth="1"/>
    <col min="5" max="5" width="19.5703125" bestFit="1" customWidth="1"/>
    <col min="6" max="6" width="8" bestFit="1" customWidth="1"/>
    <col min="7" max="7" width="38.5703125" bestFit="1" customWidth="1"/>
    <col min="8" max="8" width="23.5703125" bestFit="1" customWidth="1"/>
    <col min="9" max="9" width="9.140625" customWidth="1"/>
    <col min="10" max="10" width="24.140625" bestFit="1" customWidth="1"/>
    <col min="11" max="12" width="6.140625" bestFit="1" customWidth="1"/>
    <col min="13" max="13" width="6.85546875" bestFit="1" customWidth="1"/>
    <col min="14" max="16" width="6.140625" bestFit="1" customWidth="1"/>
    <col min="20" max="27" width="9.140625" customWidth="1"/>
    <col min="29" max="32" width="9.140625" customWidth="1"/>
  </cols>
  <sheetData>
    <row r="2" spans="1:8" ht="15" customHeight="1" x14ac:dyDescent="0.25">
      <c r="B2" s="1" t="s">
        <v>115</v>
      </c>
    </row>
    <row r="3" spans="1:8" ht="15" customHeight="1" thickBot="1" x14ac:dyDescent="0.3"/>
    <row r="4" spans="1:8" ht="15" customHeight="1" thickBot="1" x14ac:dyDescent="0.3">
      <c r="A4" s="14" t="s">
        <v>1</v>
      </c>
      <c r="B4" s="4" t="s">
        <v>108</v>
      </c>
      <c r="C4" s="5">
        <v>2019</v>
      </c>
      <c r="D4" s="5">
        <v>2020</v>
      </c>
      <c r="E4" s="5">
        <v>2021</v>
      </c>
      <c r="F4" s="5">
        <v>2022</v>
      </c>
      <c r="G4" s="5">
        <v>2023</v>
      </c>
      <c r="H4" s="5">
        <v>2024</v>
      </c>
    </row>
    <row r="5" spans="1:8" ht="15" customHeight="1" thickBot="1" x14ac:dyDescent="0.3">
      <c r="A5" s="14" t="s">
        <v>3</v>
      </c>
      <c r="B5" s="4" t="s">
        <v>2</v>
      </c>
      <c r="C5" s="6" t="s">
        <v>116</v>
      </c>
      <c r="D5" s="6" t="s">
        <v>117</v>
      </c>
      <c r="E5" s="6" t="s">
        <v>118</v>
      </c>
      <c r="F5" s="6" t="s">
        <v>119</v>
      </c>
      <c r="G5" s="6" t="s">
        <v>120</v>
      </c>
      <c r="H5" s="6" t="s">
        <v>121</v>
      </c>
    </row>
    <row r="6" spans="1:8" ht="15" customHeight="1" thickBot="1" x14ac:dyDescent="0.3">
      <c r="A6" s="14" t="s">
        <v>5</v>
      </c>
      <c r="B6" s="4" t="s">
        <v>4</v>
      </c>
      <c r="C6" s="6" t="s">
        <v>122</v>
      </c>
      <c r="D6" s="6" t="s">
        <v>123</v>
      </c>
      <c r="E6" s="6" t="s">
        <v>124</v>
      </c>
      <c r="F6" s="6" t="s">
        <v>125</v>
      </c>
      <c r="G6" s="6" t="s">
        <v>126</v>
      </c>
      <c r="H6" s="6" t="s">
        <v>127</v>
      </c>
    </row>
    <row r="7" spans="1:8" ht="15" customHeight="1" thickBot="1" x14ac:dyDescent="0.3">
      <c r="A7" s="14" t="s">
        <v>7</v>
      </c>
      <c r="B7" s="4" t="s">
        <v>6</v>
      </c>
      <c r="C7" s="6" t="s">
        <v>128</v>
      </c>
      <c r="D7" s="6" t="s">
        <v>129</v>
      </c>
      <c r="E7" s="6" t="s">
        <v>130</v>
      </c>
      <c r="F7" s="6" t="s">
        <v>131</v>
      </c>
      <c r="G7" s="6" t="s">
        <v>132</v>
      </c>
      <c r="H7" s="6" t="s">
        <v>133</v>
      </c>
    </row>
    <row r="8" spans="1:8" ht="15" customHeight="1" thickBot="1" x14ac:dyDescent="0.3">
      <c r="A8" s="14" t="s">
        <v>8</v>
      </c>
      <c r="B8" s="4" t="s">
        <v>7</v>
      </c>
      <c r="C8" s="6" t="s">
        <v>134</v>
      </c>
      <c r="D8" s="6" t="s">
        <v>135</v>
      </c>
      <c r="E8" s="6" t="s">
        <v>136</v>
      </c>
      <c r="F8" s="6" t="s">
        <v>67</v>
      </c>
      <c r="G8" s="6" t="s">
        <v>137</v>
      </c>
      <c r="H8" s="6" t="s">
        <v>138</v>
      </c>
    </row>
    <row r="9" spans="1:8" ht="15" customHeight="1" thickBot="1" x14ac:dyDescent="0.3">
      <c r="A9" s="14" t="s">
        <v>10</v>
      </c>
      <c r="B9" s="4" t="s">
        <v>9</v>
      </c>
      <c r="C9" s="6" t="s">
        <v>139</v>
      </c>
      <c r="D9" s="6" t="s">
        <v>140</v>
      </c>
      <c r="E9" s="6" t="s">
        <v>141</v>
      </c>
      <c r="F9" s="6" t="s">
        <v>142</v>
      </c>
      <c r="G9" s="6" t="s">
        <v>143</v>
      </c>
      <c r="H9" s="6" t="s">
        <v>144</v>
      </c>
    </row>
    <row r="10" spans="1:8" ht="15" customHeight="1" thickBot="1" x14ac:dyDescent="0.3">
      <c r="A10" s="14" t="s">
        <v>11</v>
      </c>
      <c r="B10" s="4" t="s">
        <v>10</v>
      </c>
      <c r="C10" s="6" t="s">
        <v>145</v>
      </c>
      <c r="D10" s="6" t="s">
        <v>146</v>
      </c>
      <c r="E10" s="6" t="s">
        <v>147</v>
      </c>
      <c r="F10" s="6" t="s">
        <v>137</v>
      </c>
      <c r="G10" s="6" t="s">
        <v>148</v>
      </c>
      <c r="H10" s="6" t="s">
        <v>149</v>
      </c>
    </row>
    <row r="11" spans="1:8" ht="15" customHeight="1" thickBot="1" x14ac:dyDescent="0.3">
      <c r="A11" s="14" t="s">
        <v>14</v>
      </c>
      <c r="B11" s="4" t="s">
        <v>12</v>
      </c>
      <c r="C11" s="6" t="s">
        <v>150</v>
      </c>
      <c r="D11" s="6" t="s">
        <v>151</v>
      </c>
      <c r="E11" s="6" t="s">
        <v>152</v>
      </c>
      <c r="F11" s="6" t="s">
        <v>153</v>
      </c>
      <c r="G11" s="6" t="s">
        <v>154</v>
      </c>
      <c r="H11" s="6" t="s">
        <v>155</v>
      </c>
    </row>
    <row r="12" spans="1:8" ht="15" customHeight="1" thickBot="1" x14ac:dyDescent="0.3">
      <c r="A12" s="14" t="s">
        <v>18</v>
      </c>
      <c r="B12" s="7" t="s">
        <v>13</v>
      </c>
      <c r="C12" s="8"/>
      <c r="D12" s="6"/>
      <c r="E12" s="6"/>
      <c r="F12" s="6"/>
      <c r="G12" s="6"/>
      <c r="H12" s="6"/>
    </row>
    <row r="13" spans="1:8" ht="15" customHeight="1" thickBot="1" x14ac:dyDescent="0.3">
      <c r="A13" s="14" t="s">
        <v>24</v>
      </c>
    </row>
    <row r="14" spans="1:8" ht="15" customHeight="1" thickBot="1" x14ac:dyDescent="0.3">
      <c r="A14" s="14" t="s">
        <v>43</v>
      </c>
      <c r="B14" s="4" t="s">
        <v>108</v>
      </c>
      <c r="C14" s="5">
        <v>2019</v>
      </c>
      <c r="D14" s="5">
        <v>2020</v>
      </c>
      <c r="E14" s="5">
        <v>2021</v>
      </c>
      <c r="F14" s="5">
        <v>2022</v>
      </c>
      <c r="G14" s="5">
        <v>2023</v>
      </c>
      <c r="H14" s="5">
        <v>2024</v>
      </c>
    </row>
    <row r="15" spans="1:8" ht="15" customHeight="1" thickBot="1" x14ac:dyDescent="0.3">
      <c r="A15" s="14" t="s">
        <v>28</v>
      </c>
      <c r="B15" s="4" t="s">
        <v>14</v>
      </c>
      <c r="C15" s="6" t="s">
        <v>156</v>
      </c>
      <c r="D15" s="6" t="s">
        <v>157</v>
      </c>
      <c r="E15" s="6" t="s">
        <v>158</v>
      </c>
      <c r="F15" s="6" t="s">
        <v>159</v>
      </c>
      <c r="G15" s="6" t="s">
        <v>37</v>
      </c>
      <c r="H15" s="6" t="s">
        <v>112</v>
      </c>
    </row>
    <row r="16" spans="1:8" ht="15" customHeight="1" thickBot="1" x14ac:dyDescent="0.3">
      <c r="A16" s="14" t="s">
        <v>33</v>
      </c>
      <c r="B16" s="4" t="s">
        <v>23</v>
      </c>
      <c r="C16" s="6" t="s">
        <v>160</v>
      </c>
      <c r="D16" s="6" t="s">
        <v>161</v>
      </c>
      <c r="E16" s="6" t="s">
        <v>162</v>
      </c>
      <c r="F16" s="6" t="s">
        <v>163</v>
      </c>
      <c r="G16" s="6" t="s">
        <v>22</v>
      </c>
      <c r="H16" s="6" t="s">
        <v>22</v>
      </c>
    </row>
    <row r="17" spans="1:16" ht="15" customHeight="1" thickBot="1" x14ac:dyDescent="0.3">
      <c r="A17" s="14" t="s">
        <v>38</v>
      </c>
      <c r="B17" s="4" t="s">
        <v>24</v>
      </c>
      <c r="C17" s="6" t="s">
        <v>164</v>
      </c>
      <c r="D17" s="6" t="s">
        <v>165</v>
      </c>
      <c r="E17" s="6" t="s">
        <v>166</v>
      </c>
      <c r="F17" s="6" t="s">
        <v>167</v>
      </c>
      <c r="G17" s="6" t="s">
        <v>168</v>
      </c>
      <c r="H17" s="6" t="s">
        <v>169</v>
      </c>
    </row>
    <row r="18" spans="1:16" ht="15" customHeight="1" thickBot="1" x14ac:dyDescent="0.3">
      <c r="A18" s="14" t="s">
        <v>44</v>
      </c>
      <c r="B18" s="4" t="s">
        <v>43</v>
      </c>
      <c r="C18" s="9">
        <v>71987</v>
      </c>
      <c r="D18" s="9">
        <v>77779</v>
      </c>
      <c r="E18" s="9">
        <v>74795</v>
      </c>
      <c r="F18" s="9">
        <v>75041</v>
      </c>
      <c r="G18" s="6" t="s">
        <v>22</v>
      </c>
      <c r="H18" s="6" t="s">
        <v>22</v>
      </c>
    </row>
    <row r="19" spans="1:16" ht="15" customHeight="1" thickBot="1" x14ac:dyDescent="0.3">
      <c r="A19" s="14" t="s">
        <v>46</v>
      </c>
      <c r="B19" s="4" t="s">
        <v>32</v>
      </c>
      <c r="C19" s="6" t="s">
        <v>170</v>
      </c>
      <c r="D19" s="6" t="s">
        <v>171</v>
      </c>
      <c r="E19" s="6" t="s">
        <v>172</v>
      </c>
      <c r="F19" s="6" t="s">
        <v>173</v>
      </c>
      <c r="G19" s="6" t="s">
        <v>174</v>
      </c>
      <c r="H19" s="6" t="s">
        <v>175</v>
      </c>
    </row>
    <row r="20" spans="1:16" ht="15" customHeight="1" thickBot="1" x14ac:dyDescent="0.3">
      <c r="A20" s="14" t="s">
        <v>51</v>
      </c>
      <c r="B20" s="4" t="s">
        <v>33</v>
      </c>
      <c r="C20" s="6" t="s">
        <v>176</v>
      </c>
      <c r="D20" s="6" t="s">
        <v>177</v>
      </c>
      <c r="E20" s="6" t="s">
        <v>178</v>
      </c>
      <c r="F20" s="6" t="s">
        <v>179</v>
      </c>
      <c r="G20" s="6" t="s">
        <v>180</v>
      </c>
      <c r="H20" s="6" t="s">
        <v>181</v>
      </c>
    </row>
    <row r="21" spans="1:16" ht="15" customHeight="1" thickBot="1" x14ac:dyDescent="0.3">
      <c r="A21" s="14" t="s">
        <v>1</v>
      </c>
      <c r="B21" s="4" t="s">
        <v>38</v>
      </c>
      <c r="C21" s="6" t="s">
        <v>182</v>
      </c>
      <c r="D21" s="6" t="s">
        <v>183</v>
      </c>
      <c r="E21" s="6" t="s">
        <v>184</v>
      </c>
      <c r="F21" s="6" t="s">
        <v>185</v>
      </c>
      <c r="G21" s="6" t="s">
        <v>186</v>
      </c>
      <c r="H21" s="6" t="s">
        <v>187</v>
      </c>
    </row>
    <row r="22" spans="1:16" ht="15" customHeight="1" thickBot="1" x14ac:dyDescent="0.3">
      <c r="A22" s="14" t="s">
        <v>3</v>
      </c>
      <c r="B22" s="7" t="s">
        <v>42</v>
      </c>
      <c r="C22" s="8"/>
      <c r="D22" s="6"/>
      <c r="E22" s="6"/>
      <c r="F22" s="6"/>
      <c r="G22" s="6"/>
      <c r="H22" s="6"/>
    </row>
    <row r="23" spans="1:16" ht="15" customHeight="1" thickBot="1" x14ac:dyDescent="0.3">
      <c r="A23" s="14" t="s">
        <v>5</v>
      </c>
    </row>
    <row r="24" spans="1:16" ht="15" customHeight="1" thickBot="1" x14ac:dyDescent="0.3">
      <c r="A24" s="14" t="s">
        <v>7</v>
      </c>
      <c r="B24" s="4" t="s">
        <v>108</v>
      </c>
      <c r="C24" s="5">
        <v>2019</v>
      </c>
      <c r="D24" s="5">
        <v>2020</v>
      </c>
      <c r="E24" s="5">
        <v>2021</v>
      </c>
      <c r="F24" s="5">
        <v>2022</v>
      </c>
      <c r="G24" s="5">
        <v>2023</v>
      </c>
      <c r="H24" s="5">
        <v>2024</v>
      </c>
    </row>
    <row r="25" spans="1:16" ht="15" customHeight="1" thickBot="1" x14ac:dyDescent="0.3">
      <c r="A25" s="14" t="s">
        <v>8</v>
      </c>
      <c r="B25" s="4" t="s">
        <v>45</v>
      </c>
      <c r="C25" s="6" t="s">
        <v>188</v>
      </c>
      <c r="D25" s="6" t="s">
        <v>189</v>
      </c>
      <c r="E25" s="6" t="s">
        <v>190</v>
      </c>
      <c r="F25" s="6" t="s">
        <v>191</v>
      </c>
      <c r="G25" s="6" t="s">
        <v>192</v>
      </c>
      <c r="H25" s="6" t="s">
        <v>193</v>
      </c>
    </row>
    <row r="26" spans="1:16" ht="15" customHeight="1" thickBot="1" x14ac:dyDescent="0.3">
      <c r="A26" s="14" t="s">
        <v>10</v>
      </c>
      <c r="B26" s="4" t="s">
        <v>50</v>
      </c>
      <c r="C26" s="6" t="s">
        <v>22</v>
      </c>
      <c r="D26" s="6" t="s">
        <v>22</v>
      </c>
      <c r="E26" s="6" t="s">
        <v>22</v>
      </c>
      <c r="F26" s="6" t="s">
        <v>22</v>
      </c>
      <c r="G26" s="6" t="s">
        <v>22</v>
      </c>
      <c r="H26" s="6" t="s">
        <v>22</v>
      </c>
    </row>
    <row r="27" spans="1:16" ht="15" customHeight="1" thickBot="1" x14ac:dyDescent="0.3">
      <c r="B27" s="4" t="s">
        <v>51</v>
      </c>
      <c r="C27" s="6" t="s">
        <v>194</v>
      </c>
      <c r="D27" s="6" t="s">
        <v>195</v>
      </c>
      <c r="E27" s="6" t="s">
        <v>196</v>
      </c>
      <c r="F27" s="6" t="s">
        <v>197</v>
      </c>
      <c r="G27" s="6" t="s">
        <v>198</v>
      </c>
      <c r="H27" s="6" t="s">
        <v>199</v>
      </c>
    </row>
    <row r="28" spans="1:16" ht="15" customHeight="1" thickBot="1" x14ac:dyDescent="0.3">
      <c r="B28" s="7" t="s">
        <v>13</v>
      </c>
      <c r="C28" s="8"/>
      <c r="D28" s="6"/>
      <c r="E28" s="6"/>
      <c r="F28" s="6"/>
      <c r="G28" s="6"/>
      <c r="H28" s="6"/>
    </row>
    <row r="29" spans="1:16" ht="15" customHeight="1" thickBot="1" x14ac:dyDescent="0.3"/>
    <row r="30" spans="1:16" ht="15" customHeight="1" thickBot="1" x14ac:dyDescent="0.3">
      <c r="B30" s="4" t="s">
        <v>108</v>
      </c>
      <c r="C30" s="5" t="s">
        <v>109</v>
      </c>
      <c r="D30" s="5" t="s">
        <v>110</v>
      </c>
      <c r="E30" s="5" t="s">
        <v>111</v>
      </c>
      <c r="F30" s="5" t="s">
        <v>55</v>
      </c>
      <c r="G30" s="5" t="s">
        <v>56</v>
      </c>
      <c r="H30" s="5" t="s">
        <v>57</v>
      </c>
      <c r="J30" s="1" t="s">
        <v>108</v>
      </c>
      <c r="K30">
        <f>VLOOKUP(J30,B4:H36,2,FALSE)</f>
        <v>2019</v>
      </c>
      <c r="L30">
        <f>VLOOKUP(J30,B4:H36,3,FALSE)</f>
        <v>2020</v>
      </c>
      <c r="M30">
        <f>VLOOKUP(J30,B4:H36,4,FALSE)</f>
        <v>2021</v>
      </c>
      <c r="N30">
        <f>VLOOKUP(J30,B4:H36,5,FALSE)</f>
        <v>2022</v>
      </c>
      <c r="O30">
        <f>VLOOKUP(J30,B4:H36,6,FALSE)</f>
        <v>2023</v>
      </c>
      <c r="P30">
        <f>VLOOKUP(J30,B4:H36,7,FALSE)</f>
        <v>2024</v>
      </c>
    </row>
    <row r="31" spans="1:16" ht="15" customHeight="1" thickBot="1" x14ac:dyDescent="0.3">
      <c r="B31" s="4" t="s">
        <v>2</v>
      </c>
      <c r="C31" s="6" t="s">
        <v>200</v>
      </c>
      <c r="D31" s="6" t="s">
        <v>201</v>
      </c>
      <c r="E31" s="6" t="s">
        <v>202</v>
      </c>
      <c r="F31" s="6" t="s">
        <v>203</v>
      </c>
      <c r="G31" s="6" t="s">
        <v>204</v>
      </c>
      <c r="H31" s="6" t="s">
        <v>205</v>
      </c>
      <c r="J31" s="1" t="s">
        <v>1</v>
      </c>
      <c r="K31">
        <f>VALUE(SUBSTITUTE(SUBSTITUTE(SUBSTITUTE(SUBSTITUTE(VLOOKUP(J31,B4:H36,2,FALSE)," ",""),"x",""),"%",""),",","."))</f>
        <v>71965</v>
      </c>
      <c r="L31">
        <f>VALUE(SUBSTITUTE(SUBSTITUTE(SUBSTITUTE(SUBSTITUTE(VLOOKUP(J31,B4:H36,3,FALSE)," ",""),"x",""),"%",""),",","."))</f>
        <v>77867</v>
      </c>
      <c r="M31">
        <f>VALUE(SUBSTITUTE(SUBSTITUTE(SUBSTITUTE(SUBSTITUTE(VLOOKUP(J31,B4:H36,4,FALSE)," ",""),"x",""),"%",""),",","."))</f>
        <v>74718</v>
      </c>
      <c r="N31">
        <f>VALUE(SUBSTITUTE(SUBSTITUTE(SUBSTITUTE(SUBSTITUTE(VLOOKUP(J31,B4:H36,5,FALSE)," ",""),"x",""),"%",""),",","."))</f>
        <v>74900</v>
      </c>
      <c r="O31">
        <f>VALUE(SUBSTITUTE(SUBSTITUTE(SUBSTITUTE(SUBSTITUTE(VLOOKUP(J31,B4:H36,6,FALSE)," ",""),"x",""),"%",""),",","."))</f>
        <v>77383</v>
      </c>
      <c r="P31">
        <f>VALUE(SUBSTITUTE(SUBSTITUTE(SUBSTITUTE(SUBSTITUTE(VLOOKUP(J31,B4:H36,7,FALSE)," ",""),"x",""),"%",""),",","."))</f>
        <v>82082</v>
      </c>
    </row>
    <row r="32" spans="1:16" ht="15" customHeight="1" thickBot="1" x14ac:dyDescent="0.3">
      <c r="B32" s="4" t="s">
        <v>4</v>
      </c>
      <c r="C32" s="6" t="s">
        <v>206</v>
      </c>
      <c r="D32" s="6" t="s">
        <v>207</v>
      </c>
      <c r="E32" s="6" t="s">
        <v>208</v>
      </c>
      <c r="F32" s="6" t="s">
        <v>209</v>
      </c>
      <c r="G32" s="6" t="s">
        <v>210</v>
      </c>
      <c r="H32" s="6" t="s">
        <v>211</v>
      </c>
      <c r="J32" t="s">
        <v>88</v>
      </c>
      <c r="L32" s="11">
        <f>(L31-K31)/K31</f>
        <v>8.2012089210032654E-2</v>
      </c>
      <c r="M32" s="11">
        <f>(M31-L31)/L31</f>
        <v>-4.044075153787869E-2</v>
      </c>
      <c r="N32" s="11">
        <f>(N31-M31)/M31</f>
        <v>2.4358253700580853E-3</v>
      </c>
      <c r="O32" s="11">
        <f>(O31-N31)/N31</f>
        <v>3.3150867823765022E-2</v>
      </c>
      <c r="P32" s="11">
        <f>(P31-O31)/O31</f>
        <v>6.0723931612886549E-2</v>
      </c>
    </row>
    <row r="33" spans="2:8" ht="15" customHeight="1" thickBot="1" x14ac:dyDescent="0.3">
      <c r="B33" s="4" t="s">
        <v>6</v>
      </c>
      <c r="C33" s="6" t="s">
        <v>212</v>
      </c>
      <c r="D33" s="6" t="s">
        <v>213</v>
      </c>
      <c r="E33" s="6" t="s">
        <v>214</v>
      </c>
      <c r="F33" s="6" t="s">
        <v>215</v>
      </c>
      <c r="G33" s="6" t="s">
        <v>216</v>
      </c>
      <c r="H33" s="6" t="s">
        <v>217</v>
      </c>
    </row>
    <row r="34" spans="2:8" ht="15" customHeight="1" thickBot="1" x14ac:dyDescent="0.3">
      <c r="B34" s="4" t="s">
        <v>7</v>
      </c>
      <c r="C34" s="6" t="s">
        <v>218</v>
      </c>
      <c r="D34" s="6" t="s">
        <v>219</v>
      </c>
      <c r="E34" s="6" t="s">
        <v>220</v>
      </c>
      <c r="F34" s="6" t="s">
        <v>221</v>
      </c>
      <c r="G34" s="6" t="s">
        <v>222</v>
      </c>
      <c r="H34" s="6" t="s">
        <v>223</v>
      </c>
    </row>
    <row r="35" spans="2:8" ht="15" customHeight="1" thickBot="1" x14ac:dyDescent="0.3">
      <c r="B35" s="4" t="s">
        <v>9</v>
      </c>
      <c r="C35" s="6" t="s">
        <v>224</v>
      </c>
      <c r="D35" s="6" t="s">
        <v>225</v>
      </c>
      <c r="E35" s="6" t="s">
        <v>226</v>
      </c>
      <c r="F35" s="6" t="s">
        <v>227</v>
      </c>
      <c r="G35" s="6" t="s">
        <v>228</v>
      </c>
      <c r="H35" s="6" t="s">
        <v>229</v>
      </c>
    </row>
    <row r="36" spans="2:8" ht="15" customHeight="1" thickBot="1" x14ac:dyDescent="0.3">
      <c r="B36" s="4" t="s">
        <v>10</v>
      </c>
      <c r="C36" s="6" t="s">
        <v>230</v>
      </c>
      <c r="D36" s="6" t="s">
        <v>231</v>
      </c>
      <c r="E36" s="6" t="s">
        <v>232</v>
      </c>
      <c r="F36" s="6" t="s">
        <v>233</v>
      </c>
      <c r="G36" s="6" t="s">
        <v>234</v>
      </c>
      <c r="H36" s="6" t="s">
        <v>235</v>
      </c>
    </row>
    <row r="37" spans="2:8" ht="15" customHeight="1" thickBot="1" x14ac:dyDescent="0.3">
      <c r="B37" s="7" t="s">
        <v>13</v>
      </c>
      <c r="C37" s="8"/>
      <c r="D37" s="6"/>
      <c r="E37" s="6"/>
      <c r="F37" s="6"/>
      <c r="G37" s="6"/>
      <c r="H37" s="6"/>
    </row>
    <row r="38" spans="2:8" ht="15" customHeight="1" thickBot="1" x14ac:dyDescent="0.3"/>
    <row r="39" spans="2:8" ht="15" customHeight="1" thickBot="1" x14ac:dyDescent="0.3">
      <c r="B39" s="2" t="s">
        <v>68</v>
      </c>
      <c r="C39" s="18">
        <v>2020</v>
      </c>
      <c r="D39" s="18"/>
      <c r="E39" s="18">
        <v>2021</v>
      </c>
      <c r="F39" s="18"/>
      <c r="G39" s="2" t="s">
        <v>89</v>
      </c>
    </row>
    <row r="40" spans="2:8" ht="15" customHeight="1" thickBot="1" x14ac:dyDescent="0.3">
      <c r="B40" s="2" t="s">
        <v>236</v>
      </c>
      <c r="C40" s="3" t="s">
        <v>237</v>
      </c>
      <c r="D40" s="12">
        <v>0.51400000000000001</v>
      </c>
      <c r="E40" s="3" t="s">
        <v>238</v>
      </c>
      <c r="F40" s="12">
        <v>0.51300000000000001</v>
      </c>
      <c r="G40" s="12">
        <v>1.1299999999999999E-2</v>
      </c>
    </row>
    <row r="41" spans="2:8" ht="15" customHeight="1" thickBot="1" x14ac:dyDescent="0.3">
      <c r="B41" s="2" t="s">
        <v>239</v>
      </c>
      <c r="C41" s="3" t="s">
        <v>240</v>
      </c>
      <c r="D41" s="12">
        <v>0.33500000000000002</v>
      </c>
      <c r="E41" s="3" t="s">
        <v>241</v>
      </c>
      <c r="F41" s="12">
        <v>0.32700000000000001</v>
      </c>
      <c r="G41" s="12">
        <v>-1.0800000000000001E-2</v>
      </c>
    </row>
    <row r="42" spans="2:8" ht="15" customHeight="1" thickBot="1" x14ac:dyDescent="0.3">
      <c r="B42" s="2" t="s">
        <v>242</v>
      </c>
      <c r="C42" s="3" t="s">
        <v>243</v>
      </c>
      <c r="D42" s="12">
        <v>6.9000000000000006E-2</v>
      </c>
      <c r="E42" s="3" t="s">
        <v>244</v>
      </c>
      <c r="F42" s="12">
        <v>5.3999999999999999E-2</v>
      </c>
      <c r="G42" s="12">
        <v>-0.1963</v>
      </c>
    </row>
    <row r="43" spans="2:8" ht="15" customHeight="1" thickBot="1" x14ac:dyDescent="0.3">
      <c r="B43" s="2" t="s">
        <v>245</v>
      </c>
      <c r="C43" s="3" t="s">
        <v>246</v>
      </c>
      <c r="D43" s="12">
        <v>3.9E-2</v>
      </c>
      <c r="E43" s="3" t="s">
        <v>247</v>
      </c>
      <c r="F43" s="12">
        <v>5.0999999999999997E-2</v>
      </c>
      <c r="G43" s="12">
        <v>0.3296</v>
      </c>
    </row>
    <row r="44" spans="2:8" ht="15" customHeight="1" thickBot="1" x14ac:dyDescent="0.3">
      <c r="B44" s="2" t="s">
        <v>248</v>
      </c>
      <c r="C44" s="3" t="s">
        <v>249</v>
      </c>
      <c r="D44" s="12">
        <v>2.4E-2</v>
      </c>
      <c r="E44" s="3" t="s">
        <v>250</v>
      </c>
      <c r="F44" s="12">
        <v>2.4E-2</v>
      </c>
      <c r="G44" s="12">
        <v>4.3700000000000003E-2</v>
      </c>
    </row>
    <row r="45" spans="2:8" ht="15" customHeight="1" thickBot="1" x14ac:dyDescent="0.3">
      <c r="B45" s="2" t="s">
        <v>251</v>
      </c>
      <c r="C45" s="3">
        <v>967</v>
      </c>
      <c r="D45" s="12">
        <v>1.2E-2</v>
      </c>
      <c r="E45" s="3" t="s">
        <v>252</v>
      </c>
      <c r="F45" s="12">
        <v>1.7999999999999999E-2</v>
      </c>
      <c r="G45" s="12">
        <v>0.43330000000000002</v>
      </c>
    </row>
    <row r="46" spans="2:8" ht="15" customHeight="1" thickBot="1" x14ac:dyDescent="0.3">
      <c r="B46" s="2" t="s">
        <v>253</v>
      </c>
      <c r="C46" s="3">
        <v>522</v>
      </c>
      <c r="D46" s="12">
        <v>7.0000000000000001E-3</v>
      </c>
      <c r="E46" s="3" t="s">
        <v>254</v>
      </c>
      <c r="F46" s="12">
        <v>1.4E-2</v>
      </c>
      <c r="G46" s="12">
        <v>1.046</v>
      </c>
    </row>
    <row r="47" spans="2:8" ht="15" customHeight="1" thickBot="1" x14ac:dyDescent="0.3">
      <c r="B47" s="2" t="s">
        <v>96</v>
      </c>
      <c r="C47" s="3"/>
      <c r="D47" s="3"/>
      <c r="E47" s="3"/>
      <c r="F47" s="3"/>
      <c r="G47" s="3"/>
    </row>
    <row r="48" spans="2:8" ht="15" customHeight="1" thickBot="1" x14ac:dyDescent="0.3"/>
    <row r="49" spans="2:8" ht="15" customHeight="1" thickBot="1" x14ac:dyDescent="0.3">
      <c r="B49" s="2" t="s">
        <v>69</v>
      </c>
      <c r="C49" s="18">
        <v>2020</v>
      </c>
      <c r="D49" s="18"/>
      <c r="E49" s="18">
        <v>2021</v>
      </c>
      <c r="F49" s="18"/>
      <c r="G49" s="2" t="s">
        <v>89</v>
      </c>
    </row>
    <row r="50" spans="2:8" ht="15" customHeight="1" thickBot="1" x14ac:dyDescent="0.3">
      <c r="B50" s="2" t="s">
        <v>100</v>
      </c>
      <c r="C50" s="3" t="s">
        <v>255</v>
      </c>
      <c r="D50" s="15">
        <v>0.26</v>
      </c>
      <c r="E50" s="3" t="s">
        <v>256</v>
      </c>
      <c r="F50" s="12">
        <v>0.26800000000000002</v>
      </c>
      <c r="G50" s="12">
        <v>4.36E-2</v>
      </c>
    </row>
    <row r="51" spans="2:8" ht="15" customHeight="1" thickBot="1" x14ac:dyDescent="0.3">
      <c r="B51" s="2" t="s">
        <v>257</v>
      </c>
      <c r="C51" s="3" t="s">
        <v>258</v>
      </c>
      <c r="D51" s="12">
        <v>0.14899999999999999</v>
      </c>
      <c r="E51" s="3" t="s">
        <v>259</v>
      </c>
      <c r="F51" s="12">
        <v>0.20300000000000001</v>
      </c>
      <c r="G51" s="12">
        <v>0.3861</v>
      </c>
    </row>
    <row r="52" spans="2:8" ht="15" customHeight="1" thickBot="1" x14ac:dyDescent="0.3">
      <c r="B52" s="2" t="s">
        <v>113</v>
      </c>
      <c r="C52" s="3" t="s">
        <v>260</v>
      </c>
      <c r="D52" s="12">
        <v>0.22900000000000001</v>
      </c>
      <c r="E52" s="3" t="s">
        <v>261</v>
      </c>
      <c r="F52" s="15">
        <v>0.18</v>
      </c>
      <c r="G52" s="12">
        <v>-0.20119999999999999</v>
      </c>
    </row>
    <row r="53" spans="2:8" ht="15" customHeight="1" thickBot="1" x14ac:dyDescent="0.3">
      <c r="B53" s="2" t="s">
        <v>105</v>
      </c>
      <c r="C53" s="3" t="s">
        <v>262</v>
      </c>
      <c r="D53" s="12">
        <v>0.21299999999999999</v>
      </c>
      <c r="E53" s="3" t="s">
        <v>263</v>
      </c>
      <c r="F53" s="12">
        <v>0.17899999999999999</v>
      </c>
      <c r="G53" s="12">
        <v>-0.14879999999999999</v>
      </c>
    </row>
    <row r="54" spans="2:8" ht="15" customHeight="1" thickBot="1" x14ac:dyDescent="0.3">
      <c r="B54" s="2" t="s">
        <v>97</v>
      </c>
      <c r="C54" s="3" t="s">
        <v>264</v>
      </c>
      <c r="D54" s="12">
        <v>0.14899999999999999</v>
      </c>
      <c r="E54" s="3" t="s">
        <v>265</v>
      </c>
      <c r="F54" s="15">
        <v>0.17</v>
      </c>
      <c r="G54" s="12">
        <v>0.15989999999999999</v>
      </c>
    </row>
    <row r="55" spans="2:8" ht="15" customHeight="1" thickBot="1" x14ac:dyDescent="0.3">
      <c r="B55" s="2" t="s">
        <v>96</v>
      </c>
      <c r="C55" s="3"/>
      <c r="D55" s="3"/>
      <c r="E55" s="3"/>
      <c r="F55" s="3"/>
      <c r="G55" s="3"/>
    </row>
    <row r="56" spans="2:8" ht="15" customHeight="1" thickBot="1" x14ac:dyDescent="0.3"/>
    <row r="57" spans="2:8" ht="15" customHeight="1" thickBot="1" x14ac:dyDescent="0.3">
      <c r="B57" s="4" t="s">
        <v>312</v>
      </c>
      <c r="C57" s="5"/>
      <c r="D57" s="5"/>
      <c r="E57" s="5"/>
      <c r="G57" s="2" t="s">
        <v>70</v>
      </c>
      <c r="H57" s="6" t="s">
        <v>71</v>
      </c>
    </row>
    <row r="58" spans="2:8" ht="15" customHeight="1" thickBot="1" x14ac:dyDescent="0.3">
      <c r="B58" s="4" t="s">
        <v>280</v>
      </c>
      <c r="C58" s="6" t="s">
        <v>313</v>
      </c>
      <c r="D58" s="6" t="s">
        <v>282</v>
      </c>
      <c r="E58" s="6" t="s">
        <v>314</v>
      </c>
      <c r="G58" s="2" t="s">
        <v>72</v>
      </c>
      <c r="H58" s="6" t="s">
        <v>73</v>
      </c>
    </row>
    <row r="59" spans="2:8" ht="15" customHeight="1" thickBot="1" x14ac:dyDescent="0.3">
      <c r="B59" s="16">
        <v>44651</v>
      </c>
      <c r="C59" s="6" t="s">
        <v>315</v>
      </c>
      <c r="D59" s="6" t="s">
        <v>285</v>
      </c>
      <c r="E59" s="6">
        <v>2.13</v>
      </c>
      <c r="G59" s="2" t="s">
        <v>74</v>
      </c>
      <c r="H59" s="6" t="s">
        <v>114</v>
      </c>
    </row>
    <row r="60" spans="2:8" ht="15" customHeight="1" thickBot="1" x14ac:dyDescent="0.3">
      <c r="B60" s="16">
        <v>44561</v>
      </c>
      <c r="C60" s="6" t="s">
        <v>316</v>
      </c>
      <c r="D60" s="6" t="s">
        <v>287</v>
      </c>
      <c r="E60" s="6">
        <v>2.13</v>
      </c>
    </row>
    <row r="61" spans="2:8" ht="15" customHeight="1" thickBot="1" x14ac:dyDescent="0.3">
      <c r="B61" s="16">
        <v>44469</v>
      </c>
      <c r="C61" s="6" t="s">
        <v>317</v>
      </c>
      <c r="D61" s="6" t="s">
        <v>289</v>
      </c>
      <c r="E61" s="6">
        <v>2.0699999999999998</v>
      </c>
      <c r="G61" s="4" t="s">
        <v>75</v>
      </c>
      <c r="H61" s="6">
        <v>37.409999999999997</v>
      </c>
    </row>
    <row r="62" spans="2:8" ht="15" customHeight="1" thickBot="1" x14ac:dyDescent="0.3">
      <c r="B62" s="16">
        <v>44377</v>
      </c>
      <c r="C62" s="6" t="s">
        <v>318</v>
      </c>
      <c r="D62" s="6" t="s">
        <v>291</v>
      </c>
      <c r="E62" s="6">
        <v>1.99</v>
      </c>
      <c r="G62" s="4" t="s">
        <v>76</v>
      </c>
      <c r="H62" s="9">
        <v>35320632</v>
      </c>
    </row>
    <row r="63" spans="2:8" ht="15" customHeight="1" thickBot="1" x14ac:dyDescent="0.3">
      <c r="B63" s="16">
        <v>44286</v>
      </c>
      <c r="C63" s="6" t="s">
        <v>319</v>
      </c>
      <c r="D63" s="6" t="s">
        <v>293</v>
      </c>
      <c r="E63" s="6">
        <v>1.9</v>
      </c>
      <c r="G63" s="4" t="s">
        <v>77</v>
      </c>
      <c r="H63" s="6" t="s">
        <v>267</v>
      </c>
    </row>
    <row r="64" spans="2:8" ht="15" customHeight="1" thickBot="1" x14ac:dyDescent="0.3">
      <c r="B64" s="16">
        <v>44196</v>
      </c>
      <c r="C64" s="6" t="s">
        <v>320</v>
      </c>
      <c r="D64" s="6" t="s">
        <v>295</v>
      </c>
      <c r="E64" s="6">
        <v>1.91</v>
      </c>
      <c r="G64" s="4" t="s">
        <v>78</v>
      </c>
      <c r="H64" s="6">
        <v>0.6</v>
      </c>
    </row>
    <row r="65" spans="2:8" ht="15" customHeight="1" thickBot="1" x14ac:dyDescent="0.3">
      <c r="B65" s="16">
        <v>44104</v>
      </c>
      <c r="C65" s="6" t="s">
        <v>321</v>
      </c>
      <c r="D65" s="6" t="s">
        <v>297</v>
      </c>
      <c r="E65" s="6">
        <v>1.66</v>
      </c>
      <c r="G65" s="4" t="s">
        <v>79</v>
      </c>
      <c r="H65" s="6" t="s">
        <v>268</v>
      </c>
    </row>
    <row r="66" spans="2:8" ht="15" customHeight="1" thickBot="1" x14ac:dyDescent="0.3">
      <c r="B66" s="16">
        <v>44012</v>
      </c>
      <c r="C66" s="6" t="s">
        <v>322</v>
      </c>
      <c r="D66" s="6" t="s">
        <v>299</v>
      </c>
      <c r="E66" s="6">
        <v>1.98</v>
      </c>
      <c r="G66" s="4" t="s">
        <v>80</v>
      </c>
      <c r="H66" s="6" t="s">
        <v>269</v>
      </c>
    </row>
    <row r="67" spans="2:8" ht="15" customHeight="1" thickBot="1" x14ac:dyDescent="0.3">
      <c r="B67" s="16">
        <v>43921</v>
      </c>
      <c r="C67" s="6" t="s">
        <v>323</v>
      </c>
      <c r="D67" s="6" t="s">
        <v>301</v>
      </c>
      <c r="E67" s="6">
        <v>1.74</v>
      </c>
      <c r="G67" s="4" t="s">
        <v>81</v>
      </c>
      <c r="H67" s="6">
        <v>51.27</v>
      </c>
    </row>
    <row r="68" spans="2:8" ht="15" customHeight="1" thickBot="1" x14ac:dyDescent="0.3">
      <c r="B68" s="16">
        <v>43830</v>
      </c>
      <c r="C68" s="6" t="s">
        <v>324</v>
      </c>
      <c r="D68" s="6" t="s">
        <v>303</v>
      </c>
      <c r="E68" s="6">
        <v>1.4</v>
      </c>
      <c r="G68" s="4" t="s">
        <v>82</v>
      </c>
      <c r="H68" s="6" t="s">
        <v>270</v>
      </c>
    </row>
    <row r="69" spans="2:8" ht="15" customHeight="1" thickBot="1" x14ac:dyDescent="0.3">
      <c r="B69" s="16">
        <v>43738</v>
      </c>
      <c r="C69" s="6" t="s">
        <v>325</v>
      </c>
      <c r="D69" s="6" t="s">
        <v>305</v>
      </c>
      <c r="E69" s="6">
        <v>1.2</v>
      </c>
      <c r="G69" s="4" t="s">
        <v>83</v>
      </c>
      <c r="H69" s="6">
        <v>6.42</v>
      </c>
    </row>
    <row r="70" spans="2:8" ht="15" customHeight="1" thickBot="1" x14ac:dyDescent="0.3">
      <c r="B70" s="16">
        <v>43646</v>
      </c>
      <c r="C70" s="6" t="s">
        <v>326</v>
      </c>
      <c r="D70" s="6" t="s">
        <v>307</v>
      </c>
      <c r="E70" s="6">
        <v>1.48</v>
      </c>
      <c r="G70" s="4" t="s">
        <v>84</v>
      </c>
      <c r="H70" s="6">
        <v>10.76</v>
      </c>
    </row>
    <row r="71" spans="2:8" ht="15" customHeight="1" thickBot="1" x14ac:dyDescent="0.3">
      <c r="B71" s="16">
        <v>43555</v>
      </c>
      <c r="C71" s="6" t="s">
        <v>327</v>
      </c>
      <c r="D71" s="6" t="s">
        <v>309</v>
      </c>
      <c r="E71" s="6">
        <v>1.54</v>
      </c>
      <c r="G71" s="4" t="s">
        <v>85</v>
      </c>
      <c r="H71" s="6">
        <v>2.15</v>
      </c>
    </row>
    <row r="72" spans="2:8" ht="15" customHeight="1" thickBot="1" x14ac:dyDescent="0.3">
      <c r="B72" s="16">
        <v>43465</v>
      </c>
      <c r="C72" s="6" t="s">
        <v>328</v>
      </c>
      <c r="D72" s="6" t="s">
        <v>311</v>
      </c>
      <c r="E72" s="6">
        <v>1.73</v>
      </c>
    </row>
    <row r="73" spans="2:8" ht="15" customHeight="1" thickBot="1" x14ac:dyDescent="0.3">
      <c r="G73" s="4" t="s">
        <v>362</v>
      </c>
      <c r="H73" s="6" t="s">
        <v>363</v>
      </c>
    </row>
    <row r="74" spans="2:8" ht="15" customHeight="1" thickBot="1" x14ac:dyDescent="0.3">
      <c r="B74" s="4" t="s">
        <v>279</v>
      </c>
      <c r="C74" s="5"/>
      <c r="D74" s="5"/>
      <c r="E74" s="5"/>
      <c r="G74" s="4" t="s">
        <v>364</v>
      </c>
      <c r="H74" s="6" t="s">
        <v>365</v>
      </c>
    </row>
    <row r="75" spans="2:8" ht="15" customHeight="1" thickBot="1" x14ac:dyDescent="0.3">
      <c r="B75" s="4" t="s">
        <v>280</v>
      </c>
      <c r="C75" s="6" t="s">
        <v>281</v>
      </c>
      <c r="D75" s="6" t="s">
        <v>282</v>
      </c>
      <c r="E75" s="6" t="s">
        <v>283</v>
      </c>
      <c r="G75" s="4" t="s">
        <v>361</v>
      </c>
      <c r="H75" s="6">
        <v>25.22</v>
      </c>
    </row>
    <row r="76" spans="2:8" ht="15" customHeight="1" thickBot="1" x14ac:dyDescent="0.3">
      <c r="B76" s="16">
        <v>44651</v>
      </c>
      <c r="C76" s="6" t="s">
        <v>284</v>
      </c>
      <c r="D76" s="6" t="s">
        <v>285</v>
      </c>
      <c r="E76" s="6">
        <v>1.73</v>
      </c>
    </row>
    <row r="77" spans="2:8" ht="15" customHeight="1" thickBot="1" x14ac:dyDescent="0.3">
      <c r="B77" s="16">
        <v>44561</v>
      </c>
      <c r="C77" s="6" t="s">
        <v>286</v>
      </c>
      <c r="D77" s="6" t="s">
        <v>287</v>
      </c>
      <c r="E77" s="6">
        <v>1.74</v>
      </c>
      <c r="G77" s="4" t="s">
        <v>273</v>
      </c>
      <c r="H77" s="6" t="s">
        <v>271</v>
      </c>
    </row>
    <row r="78" spans="2:8" ht="15" customHeight="1" thickBot="1" x14ac:dyDescent="0.3">
      <c r="B78" s="16">
        <v>44469</v>
      </c>
      <c r="C78" s="6" t="s">
        <v>288</v>
      </c>
      <c r="D78" s="6" t="s">
        <v>289</v>
      </c>
      <c r="E78" s="6">
        <v>1.74</v>
      </c>
      <c r="G78" s="4" t="s">
        <v>274</v>
      </c>
      <c r="H78" s="6" t="s">
        <v>272</v>
      </c>
    </row>
    <row r="79" spans="2:8" ht="15" customHeight="1" thickBot="1" x14ac:dyDescent="0.3">
      <c r="B79" s="16">
        <v>44377</v>
      </c>
      <c r="C79" s="6" t="s">
        <v>290</v>
      </c>
      <c r="D79" s="6" t="s">
        <v>291</v>
      </c>
      <c r="E79" s="6">
        <v>1.63</v>
      </c>
      <c r="G79" s="4" t="s">
        <v>275</v>
      </c>
      <c r="H79" s="6">
        <v>2.3199999999999998</v>
      </c>
    </row>
    <row r="80" spans="2:8" ht="15" customHeight="1" thickBot="1" x14ac:dyDescent="0.3">
      <c r="B80" s="16">
        <v>44286</v>
      </c>
      <c r="C80" s="6" t="s">
        <v>292</v>
      </c>
      <c r="D80" s="6" t="s">
        <v>293</v>
      </c>
      <c r="E80" s="6">
        <v>1.54</v>
      </c>
      <c r="G80" s="4" t="s">
        <v>276</v>
      </c>
      <c r="H80" s="13">
        <v>1.9300000000000001E-2</v>
      </c>
    </row>
    <row r="81" spans="2:8" ht="15" customHeight="1" thickBot="1" x14ac:dyDescent="0.3">
      <c r="B81" s="16">
        <v>44196</v>
      </c>
      <c r="C81" s="6" t="s">
        <v>294</v>
      </c>
      <c r="D81" s="6" t="s">
        <v>295</v>
      </c>
      <c r="E81" s="6">
        <v>1.57</v>
      </c>
    </row>
    <row r="82" spans="2:8" ht="15" customHeight="1" thickBot="1" x14ac:dyDescent="0.3">
      <c r="B82" s="16">
        <v>44104</v>
      </c>
      <c r="C82" s="6" t="s">
        <v>296</v>
      </c>
      <c r="D82" s="6" t="s">
        <v>297</v>
      </c>
      <c r="E82" s="6">
        <v>1.24</v>
      </c>
      <c r="G82" s="4" t="s">
        <v>86</v>
      </c>
      <c r="H82" s="6" t="s">
        <v>277</v>
      </c>
    </row>
    <row r="83" spans="2:8" ht="15" customHeight="1" thickBot="1" x14ac:dyDescent="0.3">
      <c r="B83" s="16">
        <v>44012</v>
      </c>
      <c r="C83" s="6" t="s">
        <v>298</v>
      </c>
      <c r="D83" s="6" t="s">
        <v>299</v>
      </c>
      <c r="E83" s="6">
        <v>1.58</v>
      </c>
      <c r="G83" s="4" t="s">
        <v>87</v>
      </c>
      <c r="H83" s="6" t="s">
        <v>278</v>
      </c>
    </row>
    <row r="84" spans="2:8" ht="15" customHeight="1" thickBot="1" x14ac:dyDescent="0.3">
      <c r="B84" s="16">
        <v>43921</v>
      </c>
      <c r="C84" s="6" t="s">
        <v>300</v>
      </c>
      <c r="D84" s="6" t="s">
        <v>301</v>
      </c>
      <c r="E84" s="6">
        <v>1.35</v>
      </c>
    </row>
    <row r="85" spans="2:8" ht="15" customHeight="1" thickBot="1" x14ac:dyDescent="0.3">
      <c r="B85" s="16">
        <v>43830</v>
      </c>
      <c r="C85" s="6" t="s">
        <v>302</v>
      </c>
      <c r="D85" s="6" t="s">
        <v>303</v>
      </c>
      <c r="E85" s="6">
        <v>1.01</v>
      </c>
    </row>
    <row r="86" spans="2:8" ht="15" customHeight="1" thickBot="1" x14ac:dyDescent="0.3">
      <c r="B86" s="16">
        <v>43738</v>
      </c>
      <c r="C86" s="6" t="s">
        <v>304</v>
      </c>
      <c r="D86" s="6" t="s">
        <v>305</v>
      </c>
      <c r="E86" s="6">
        <v>0.85</v>
      </c>
    </row>
    <row r="87" spans="2:8" ht="15" customHeight="1" thickBot="1" x14ac:dyDescent="0.3">
      <c r="B87" s="16">
        <v>43646</v>
      </c>
      <c r="C87" s="6" t="s">
        <v>306</v>
      </c>
      <c r="D87" s="6" t="s">
        <v>307</v>
      </c>
      <c r="E87" s="6">
        <v>1.04</v>
      </c>
    </row>
    <row r="88" spans="2:8" ht="15" customHeight="1" thickBot="1" x14ac:dyDescent="0.3">
      <c r="B88" s="16">
        <v>43555</v>
      </c>
      <c r="C88" s="6" t="s">
        <v>308</v>
      </c>
      <c r="D88" s="6" t="s">
        <v>309</v>
      </c>
      <c r="E88" s="6">
        <v>1.1299999999999999</v>
      </c>
    </row>
    <row r="89" spans="2:8" ht="15" customHeight="1" thickBot="1" x14ac:dyDescent="0.3">
      <c r="B89" s="16">
        <v>43465</v>
      </c>
      <c r="C89" s="6" t="s">
        <v>310</v>
      </c>
      <c r="D89" s="6" t="s">
        <v>311</v>
      </c>
      <c r="E89" s="6">
        <v>1.3</v>
      </c>
    </row>
    <row r="90" spans="2:8" ht="15" customHeight="1" thickBot="1" x14ac:dyDescent="0.3"/>
    <row r="91" spans="2:8" ht="15" customHeight="1" thickBot="1" x14ac:dyDescent="0.3">
      <c r="B91" s="4" t="s">
        <v>329</v>
      </c>
      <c r="C91" s="5"/>
      <c r="D91" s="5"/>
      <c r="E91" s="5"/>
    </row>
    <row r="92" spans="2:8" ht="15" customHeight="1" thickBot="1" x14ac:dyDescent="0.3">
      <c r="B92" s="4" t="s">
        <v>280</v>
      </c>
      <c r="C92" s="6" t="s">
        <v>330</v>
      </c>
      <c r="D92" s="6" t="s">
        <v>331</v>
      </c>
      <c r="E92" s="6" t="s">
        <v>332</v>
      </c>
    </row>
    <row r="93" spans="2:8" ht="15" customHeight="1" thickBot="1" x14ac:dyDescent="0.3">
      <c r="B93" s="16">
        <v>44651</v>
      </c>
      <c r="C93" s="6" t="s">
        <v>333</v>
      </c>
      <c r="D93" s="6" t="s">
        <v>334</v>
      </c>
      <c r="E93" s="6">
        <v>0.71</v>
      </c>
    </row>
    <row r="94" spans="2:8" ht="15" customHeight="1" thickBot="1" x14ac:dyDescent="0.3">
      <c r="B94" s="16">
        <v>44561</v>
      </c>
      <c r="C94" s="6" t="s">
        <v>335</v>
      </c>
      <c r="D94" s="6" t="s">
        <v>336</v>
      </c>
      <c r="E94" s="6">
        <v>0.77</v>
      </c>
    </row>
    <row r="95" spans="2:8" ht="15" customHeight="1" thickBot="1" x14ac:dyDescent="0.3">
      <c r="B95" s="16">
        <v>44469</v>
      </c>
      <c r="C95" s="6" t="s">
        <v>337</v>
      </c>
      <c r="D95" s="6" t="s">
        <v>338</v>
      </c>
      <c r="E95" s="6">
        <v>0.86</v>
      </c>
    </row>
    <row r="96" spans="2:8" ht="15" customHeight="1" thickBot="1" x14ac:dyDescent="0.3">
      <c r="B96" s="16">
        <v>44377</v>
      </c>
      <c r="C96" s="6" t="s">
        <v>339</v>
      </c>
      <c r="D96" s="6" t="s">
        <v>340</v>
      </c>
      <c r="E96" s="6">
        <v>0.81</v>
      </c>
    </row>
    <row r="97" spans="2:5" ht="15" customHeight="1" thickBot="1" x14ac:dyDescent="0.3">
      <c r="B97" s="16">
        <v>44286</v>
      </c>
      <c r="C97" s="6" t="s">
        <v>341</v>
      </c>
      <c r="D97" s="6" t="s">
        <v>342</v>
      </c>
      <c r="E97" s="6">
        <v>0.89</v>
      </c>
    </row>
    <row r="98" spans="2:5" ht="15" customHeight="1" thickBot="1" x14ac:dyDescent="0.3">
      <c r="B98" s="16">
        <v>44196</v>
      </c>
      <c r="C98" s="6" t="s">
        <v>343</v>
      </c>
      <c r="D98" s="6" t="s">
        <v>344</v>
      </c>
      <c r="E98" s="6">
        <v>0.89</v>
      </c>
    </row>
    <row r="99" spans="2:5" ht="15" customHeight="1" thickBot="1" x14ac:dyDescent="0.3">
      <c r="B99" s="16">
        <v>44104</v>
      </c>
      <c r="C99" s="6" t="s">
        <v>345</v>
      </c>
      <c r="D99" s="6" t="s">
        <v>346</v>
      </c>
      <c r="E99" s="6">
        <v>0.95</v>
      </c>
    </row>
    <row r="100" spans="2:5" ht="15" customHeight="1" thickBot="1" x14ac:dyDescent="0.3">
      <c r="B100" s="16">
        <v>44012</v>
      </c>
      <c r="C100" s="6" t="s">
        <v>347</v>
      </c>
      <c r="D100" s="6" t="s">
        <v>348</v>
      </c>
      <c r="E100" s="6">
        <v>0.86</v>
      </c>
    </row>
    <row r="101" spans="2:5" ht="15" customHeight="1" thickBot="1" x14ac:dyDescent="0.3">
      <c r="B101" s="16">
        <v>43921</v>
      </c>
      <c r="C101" s="6" t="s">
        <v>349</v>
      </c>
      <c r="D101" s="6" t="s">
        <v>350</v>
      </c>
      <c r="E101" s="6">
        <v>0.94</v>
      </c>
    </row>
    <row r="102" spans="2:5" ht="15" customHeight="1" thickBot="1" x14ac:dyDescent="0.3">
      <c r="B102" s="16">
        <v>43830</v>
      </c>
      <c r="C102" s="6" t="s">
        <v>351</v>
      </c>
      <c r="D102" s="6" t="s">
        <v>352</v>
      </c>
      <c r="E102" s="6">
        <v>0.76</v>
      </c>
    </row>
    <row r="103" spans="2:5" ht="15" customHeight="1" thickBot="1" x14ac:dyDescent="0.3">
      <c r="B103" s="16">
        <v>43738</v>
      </c>
      <c r="C103" s="6" t="s">
        <v>353</v>
      </c>
      <c r="D103" s="6" t="s">
        <v>354</v>
      </c>
      <c r="E103" s="6">
        <v>0.8</v>
      </c>
    </row>
    <row r="104" spans="2:5" ht="15" customHeight="1" thickBot="1" x14ac:dyDescent="0.3">
      <c r="B104" s="16">
        <v>43646</v>
      </c>
      <c r="C104" s="6" t="s">
        <v>355</v>
      </c>
      <c r="D104" s="6" t="s">
        <v>356</v>
      </c>
      <c r="E104" s="6">
        <v>0.75</v>
      </c>
    </row>
    <row r="105" spans="2:5" ht="15" customHeight="1" thickBot="1" x14ac:dyDescent="0.3">
      <c r="B105" s="16">
        <v>43555</v>
      </c>
      <c r="C105" s="6" t="s">
        <v>357</v>
      </c>
      <c r="D105" s="6" t="s">
        <v>358</v>
      </c>
      <c r="E105" s="6">
        <v>0.76</v>
      </c>
    </row>
    <row r="106" spans="2:5" ht="15" customHeight="1" thickBot="1" x14ac:dyDescent="0.3">
      <c r="B106" s="16">
        <v>43465</v>
      </c>
      <c r="C106" s="6" t="s">
        <v>359</v>
      </c>
      <c r="D106" s="6" t="s">
        <v>360</v>
      </c>
      <c r="E106" s="6">
        <v>0.72</v>
      </c>
    </row>
    <row r="107" spans="2:5" ht="15" customHeight="1" thickBot="1" x14ac:dyDescent="0.3"/>
    <row r="108" spans="2:5" ht="15" customHeight="1" thickBot="1" x14ac:dyDescent="0.3">
      <c r="B108" s="4" t="s">
        <v>366</v>
      </c>
      <c r="C108" s="5"/>
      <c r="D108" s="5"/>
      <c r="E108" s="5"/>
    </row>
    <row r="109" spans="2:5" ht="15" customHeight="1" thickBot="1" x14ac:dyDescent="0.3">
      <c r="B109" s="4" t="s">
        <v>280</v>
      </c>
      <c r="C109" s="6" t="s">
        <v>367</v>
      </c>
      <c r="D109" s="6" t="s">
        <v>368</v>
      </c>
      <c r="E109" s="6" t="s">
        <v>369</v>
      </c>
    </row>
    <row r="110" spans="2:5" ht="15" customHeight="1" thickBot="1" x14ac:dyDescent="0.3">
      <c r="B110" s="16">
        <v>44651</v>
      </c>
      <c r="C110" s="6" t="s">
        <v>370</v>
      </c>
      <c r="D110" s="6" t="s">
        <v>371</v>
      </c>
      <c r="E110" s="13">
        <v>0.14760000000000001</v>
      </c>
    </row>
    <row r="111" spans="2:5" ht="15" customHeight="1" thickBot="1" x14ac:dyDescent="0.3">
      <c r="B111" s="16">
        <v>44561</v>
      </c>
      <c r="C111" s="6" t="s">
        <v>372</v>
      </c>
      <c r="D111" s="6" t="s">
        <v>373</v>
      </c>
      <c r="E111" s="13">
        <v>0.1239</v>
      </c>
    </row>
    <row r="112" spans="2:5" ht="15" customHeight="1" thickBot="1" x14ac:dyDescent="0.3">
      <c r="B112" s="16">
        <v>44469</v>
      </c>
      <c r="C112" s="6" t="s">
        <v>374</v>
      </c>
      <c r="D112" s="6" t="s">
        <v>375</v>
      </c>
      <c r="E112" s="13">
        <v>0.1348</v>
      </c>
    </row>
    <row r="113" spans="2:5" ht="15" customHeight="1" thickBot="1" x14ac:dyDescent="0.3">
      <c r="B113" s="16">
        <v>44377</v>
      </c>
      <c r="C113" s="6" t="s">
        <v>376</v>
      </c>
      <c r="D113" s="6" t="s">
        <v>377</v>
      </c>
      <c r="E113" s="13">
        <v>0.123</v>
      </c>
    </row>
    <row r="114" spans="2:5" ht="15" customHeight="1" thickBot="1" x14ac:dyDescent="0.3">
      <c r="B114" s="16">
        <v>44286</v>
      </c>
      <c r="C114" s="6" t="s">
        <v>378</v>
      </c>
      <c r="D114" s="6" t="s">
        <v>379</v>
      </c>
      <c r="E114" s="13">
        <v>0.1237</v>
      </c>
    </row>
    <row r="115" spans="2:5" ht="15" customHeight="1" thickBot="1" x14ac:dyDescent="0.3">
      <c r="B115" s="16">
        <v>44196</v>
      </c>
      <c r="C115" s="6" t="s">
        <v>380</v>
      </c>
      <c r="D115" s="6" t="s">
        <v>381</v>
      </c>
      <c r="E115" s="13">
        <v>0.13969999999999999</v>
      </c>
    </row>
    <row r="116" spans="2:5" ht="15" customHeight="1" thickBot="1" x14ac:dyDescent="0.3">
      <c r="B116" s="16">
        <v>44104</v>
      </c>
      <c r="C116" s="6" t="s">
        <v>382</v>
      </c>
      <c r="D116" s="6" t="s">
        <v>383</v>
      </c>
      <c r="E116" s="13">
        <v>0.15079999999999999</v>
      </c>
    </row>
    <row r="117" spans="2:5" ht="15" customHeight="1" thickBot="1" x14ac:dyDescent="0.3">
      <c r="B117" s="16">
        <v>44012</v>
      </c>
      <c r="C117" s="6" t="s">
        <v>384</v>
      </c>
      <c r="D117" s="6" t="s">
        <v>385</v>
      </c>
      <c r="E117" s="13">
        <v>0.16589999999999999</v>
      </c>
    </row>
    <row r="118" spans="2:5" ht="15" customHeight="1" thickBot="1" x14ac:dyDescent="0.3">
      <c r="B118" s="16">
        <v>43921</v>
      </c>
      <c r="C118" s="6" t="s">
        <v>386</v>
      </c>
      <c r="D118" s="6" t="s">
        <v>387</v>
      </c>
      <c r="E118" s="13">
        <v>0.16569999999999999</v>
      </c>
    </row>
    <row r="119" spans="2:5" ht="15" customHeight="1" thickBot="1" x14ac:dyDescent="0.3">
      <c r="B119" s="16">
        <v>43830</v>
      </c>
      <c r="C119" s="6" t="s">
        <v>388</v>
      </c>
      <c r="D119" s="6" t="s">
        <v>389</v>
      </c>
      <c r="E119" s="13">
        <v>0.15870000000000001</v>
      </c>
    </row>
    <row r="120" spans="2:5" ht="15" customHeight="1" thickBot="1" x14ac:dyDescent="0.3">
      <c r="B120" s="16">
        <v>43738</v>
      </c>
      <c r="C120" s="6" t="s">
        <v>390</v>
      </c>
      <c r="D120" s="6" t="s">
        <v>391</v>
      </c>
      <c r="E120" s="13">
        <v>0.1482</v>
      </c>
    </row>
    <row r="121" spans="2:5" ht="15" customHeight="1" thickBot="1" x14ac:dyDescent="0.3">
      <c r="B121" s="16">
        <v>43646</v>
      </c>
      <c r="C121" s="6" t="s">
        <v>392</v>
      </c>
      <c r="D121" s="6" t="s">
        <v>393</v>
      </c>
      <c r="E121" s="13">
        <v>0.15290000000000001</v>
      </c>
    </row>
    <row r="122" spans="2:5" ht="15" customHeight="1" thickBot="1" x14ac:dyDescent="0.3">
      <c r="B122" s="16">
        <v>43555</v>
      </c>
      <c r="C122" s="6" t="s">
        <v>394</v>
      </c>
      <c r="D122" s="6" t="s">
        <v>395</v>
      </c>
      <c r="E122" s="13">
        <v>0.1608</v>
      </c>
    </row>
    <row r="123" spans="2:5" ht="15" customHeight="1" thickBot="1" x14ac:dyDescent="0.3">
      <c r="B123" s="16">
        <v>43465</v>
      </c>
      <c r="C123" s="6" t="s">
        <v>388</v>
      </c>
      <c r="D123" s="6" t="s">
        <v>396</v>
      </c>
      <c r="E123" s="13">
        <v>0.16489999999999999</v>
      </c>
    </row>
    <row r="124" spans="2:5" ht="15" customHeight="1" thickBot="1" x14ac:dyDescent="0.3"/>
    <row r="125" spans="2:5" ht="15" customHeight="1" thickBot="1" x14ac:dyDescent="0.3">
      <c r="B125" s="4" t="s">
        <v>397</v>
      </c>
      <c r="C125" s="5"/>
      <c r="D125" s="5"/>
      <c r="E125" s="5"/>
    </row>
    <row r="126" spans="2:5" ht="15" customHeight="1" thickBot="1" x14ac:dyDescent="0.3">
      <c r="B126" s="4" t="s">
        <v>280</v>
      </c>
      <c r="C126" s="6" t="s">
        <v>367</v>
      </c>
      <c r="D126" s="6" t="s">
        <v>331</v>
      </c>
      <c r="E126" s="6" t="s">
        <v>398</v>
      </c>
    </row>
    <row r="127" spans="2:5" ht="15" customHeight="1" thickBot="1" x14ac:dyDescent="0.3">
      <c r="B127" s="16">
        <v>44651</v>
      </c>
      <c r="C127" s="6" t="s">
        <v>370</v>
      </c>
      <c r="D127" s="6" t="s">
        <v>334</v>
      </c>
      <c r="E127" s="13">
        <v>0.26340000000000002</v>
      </c>
    </row>
    <row r="128" spans="2:5" ht="15" customHeight="1" thickBot="1" x14ac:dyDescent="0.3">
      <c r="B128" s="16">
        <v>44561</v>
      </c>
      <c r="C128" s="6" t="s">
        <v>372</v>
      </c>
      <c r="D128" s="6" t="s">
        <v>336</v>
      </c>
      <c r="E128" s="13">
        <v>0.22670000000000001</v>
      </c>
    </row>
    <row r="129" spans="2:12" ht="15" customHeight="1" thickBot="1" x14ac:dyDescent="0.3">
      <c r="B129" s="16">
        <v>44469</v>
      </c>
      <c r="C129" s="6" t="s">
        <v>374</v>
      </c>
      <c r="D129" s="6" t="s">
        <v>338</v>
      </c>
      <c r="E129" s="13">
        <v>0.25109999999999999</v>
      </c>
    </row>
    <row r="130" spans="2:12" ht="15" customHeight="1" thickBot="1" x14ac:dyDescent="0.3">
      <c r="B130" s="16">
        <v>44377</v>
      </c>
      <c r="C130" s="6" t="s">
        <v>376</v>
      </c>
      <c r="D130" s="6" t="s">
        <v>340</v>
      </c>
      <c r="E130" s="13">
        <v>0.23150000000000001</v>
      </c>
    </row>
    <row r="131" spans="2:12" ht="15" customHeight="1" thickBot="1" x14ac:dyDescent="0.3">
      <c r="B131" s="16">
        <v>44286</v>
      </c>
      <c r="C131" s="6" t="s">
        <v>378</v>
      </c>
      <c r="D131" s="6" t="s">
        <v>342</v>
      </c>
      <c r="E131" s="13">
        <v>0.2344</v>
      </c>
    </row>
    <row r="132" spans="2:12" ht="15" customHeight="1" thickBot="1" x14ac:dyDescent="0.3">
      <c r="B132" s="16">
        <v>44196</v>
      </c>
      <c r="C132" s="6" t="s">
        <v>380</v>
      </c>
      <c r="D132" s="6" t="s">
        <v>344</v>
      </c>
      <c r="E132" s="13">
        <v>0.26629999999999998</v>
      </c>
    </row>
    <row r="133" spans="2:12" ht="15" customHeight="1" thickBot="1" x14ac:dyDescent="0.3">
      <c r="B133" s="16">
        <v>44104</v>
      </c>
      <c r="C133" s="6" t="s">
        <v>382</v>
      </c>
      <c r="D133" s="6" t="s">
        <v>346</v>
      </c>
      <c r="E133" s="13">
        <v>0.2828</v>
      </c>
    </row>
    <row r="134" spans="2:12" ht="15" customHeight="1" thickBot="1" x14ac:dyDescent="0.3">
      <c r="B134" s="16">
        <v>44012</v>
      </c>
      <c r="C134" s="6" t="s">
        <v>384</v>
      </c>
      <c r="D134" s="6" t="s">
        <v>348</v>
      </c>
      <c r="E134" s="13">
        <v>0.30520000000000003</v>
      </c>
    </row>
    <row r="135" spans="2:12" ht="15" customHeight="1" thickBot="1" x14ac:dyDescent="0.3">
      <c r="B135" s="16">
        <v>43921</v>
      </c>
      <c r="C135" s="6" t="s">
        <v>386</v>
      </c>
      <c r="D135" s="6" t="s">
        <v>350</v>
      </c>
      <c r="E135" s="13">
        <v>0.30009999999999998</v>
      </c>
    </row>
    <row r="136" spans="2:12" ht="15" customHeight="1" thickBot="1" x14ac:dyDescent="0.3">
      <c r="B136" s="16">
        <v>43830</v>
      </c>
      <c r="C136" s="6" t="s">
        <v>388</v>
      </c>
      <c r="D136" s="6" t="s">
        <v>352</v>
      </c>
      <c r="E136" s="13">
        <v>0.28029999999999999</v>
      </c>
    </row>
    <row r="137" spans="2:12" ht="15" customHeight="1" thickBot="1" x14ac:dyDescent="0.3">
      <c r="B137" s="16">
        <v>43738</v>
      </c>
      <c r="C137" s="6" t="s">
        <v>390</v>
      </c>
      <c r="D137" s="6" t="s">
        <v>354</v>
      </c>
      <c r="E137" s="13">
        <v>0.2601</v>
      </c>
    </row>
    <row r="138" spans="2:12" ht="15" customHeight="1" thickBot="1" x14ac:dyDescent="0.3">
      <c r="B138" s="16">
        <v>43646</v>
      </c>
      <c r="C138" s="6" t="s">
        <v>392</v>
      </c>
      <c r="D138" s="6" t="s">
        <v>356</v>
      </c>
      <c r="E138" s="13">
        <v>0.2681</v>
      </c>
    </row>
    <row r="139" spans="2:12" ht="15" customHeight="1" thickBot="1" x14ac:dyDescent="0.3">
      <c r="B139" s="16">
        <v>43555</v>
      </c>
      <c r="C139" s="6" t="s">
        <v>394</v>
      </c>
      <c r="D139" s="6" t="s">
        <v>358</v>
      </c>
      <c r="E139" s="13">
        <v>0.28399999999999997</v>
      </c>
    </row>
    <row r="140" spans="2:12" ht="15" customHeight="1" thickBot="1" x14ac:dyDescent="0.3">
      <c r="B140" s="16">
        <v>43465</v>
      </c>
      <c r="C140" s="6" t="s">
        <v>388</v>
      </c>
      <c r="D140" s="6" t="s">
        <v>360</v>
      </c>
      <c r="E140" s="13">
        <v>0.29420000000000002</v>
      </c>
    </row>
    <row r="141" spans="2:12" ht="15" customHeight="1" thickBot="1" x14ac:dyDescent="0.3"/>
    <row r="142" spans="2:12" ht="249.95" customHeight="1" thickBot="1" x14ac:dyDescent="0.3">
      <c r="B142" s="17" t="s">
        <v>266</v>
      </c>
      <c r="C142" s="17"/>
      <c r="D142" s="17"/>
      <c r="E142" s="17"/>
      <c r="F142" s="17"/>
      <c r="G142" s="17"/>
      <c r="H142" s="17"/>
      <c r="I142" s="17"/>
      <c r="J142" s="17"/>
      <c r="K142" s="17"/>
      <c r="L142" s="17"/>
    </row>
  </sheetData>
  <mergeCells count="5">
    <mergeCell ref="B142:L142"/>
    <mergeCell ref="C39:D39"/>
    <mergeCell ref="E39:F39"/>
    <mergeCell ref="E49:F49"/>
    <mergeCell ref="C49:D49"/>
  </mergeCells>
  <dataValidations disablePrompts="1" count="2">
    <dataValidation type="list" allowBlank="1" showInputMessage="1" showErrorMessage="1" sqref="J30" xr:uid="{AAF810F5-7A44-4F61-A649-B7E4170938ED}">
      <formula1>B4</formula1>
    </dataValidation>
    <dataValidation type="list" allowBlank="1" showInputMessage="1" showErrorMessage="1" sqref="J31" xr:uid="{5FC6F137-E1FB-48C9-8B9F-4F1E783D47C1}">
      <formula1>A4:A26</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5EF95-0E8C-4D31-8B46-092E8D9C34B5}">
  <sheetPr codeName="Sheet4"/>
  <dimension ref="A2:P136"/>
  <sheetViews>
    <sheetView showGridLines="0" tabSelected="1" zoomScaleNormal="100" workbookViewId="0">
      <selection activeCell="J63" sqref="J63"/>
    </sheetView>
  </sheetViews>
  <sheetFormatPr defaultRowHeight="15" customHeight="1" x14ac:dyDescent="0.25"/>
  <cols>
    <col min="1" max="1" width="9.7109375" customWidth="1"/>
    <col min="2" max="2" width="42.42578125" bestFit="1" customWidth="1"/>
    <col min="3" max="3" width="24.42578125" bestFit="1" customWidth="1"/>
    <col min="4" max="4" width="19.42578125" bestFit="1" customWidth="1"/>
    <col min="5" max="5" width="18.85546875" bestFit="1" customWidth="1"/>
    <col min="6" max="6" width="7.85546875" bestFit="1" customWidth="1"/>
    <col min="7" max="7" width="8.140625" bestFit="1" customWidth="1"/>
    <col min="8" max="8" width="7.85546875" bestFit="1" customWidth="1"/>
    <col min="10" max="10" width="37" bestFit="1" customWidth="1"/>
    <col min="11" max="11" width="25" bestFit="1" customWidth="1"/>
    <col min="12" max="16" width="7.85546875" bestFit="1" customWidth="1"/>
  </cols>
  <sheetData>
    <row r="2" spans="1:8" ht="15" customHeight="1" x14ac:dyDescent="0.25">
      <c r="B2" s="1" t="s">
        <v>695</v>
      </c>
    </row>
    <row r="3" spans="1:8" ht="15" customHeight="1" thickBot="1" x14ac:dyDescent="0.3"/>
    <row r="4" spans="1:8" ht="15" customHeight="1" thickBot="1" x14ac:dyDescent="0.3">
      <c r="A4" s="14" t="s">
        <v>1</v>
      </c>
      <c r="B4" s="4" t="s">
        <v>0</v>
      </c>
      <c r="C4" s="5" t="s">
        <v>57</v>
      </c>
      <c r="D4" s="5" t="s">
        <v>58</v>
      </c>
      <c r="E4" s="5" t="s">
        <v>59</v>
      </c>
      <c r="F4" s="5" t="s">
        <v>60</v>
      </c>
      <c r="G4" s="5" t="s">
        <v>593</v>
      </c>
      <c r="H4" s="5" t="s">
        <v>712</v>
      </c>
    </row>
    <row r="5" spans="1:8" ht="15" customHeight="1" thickBot="1" x14ac:dyDescent="0.3">
      <c r="A5" s="14" t="s">
        <v>487</v>
      </c>
      <c r="B5" s="4" t="s">
        <v>2</v>
      </c>
      <c r="C5" s="6" t="s">
        <v>61</v>
      </c>
      <c r="D5" s="6" t="s">
        <v>594</v>
      </c>
      <c r="E5" s="6" t="s">
        <v>713</v>
      </c>
      <c r="F5" s="6" t="s">
        <v>714</v>
      </c>
      <c r="G5" s="6" t="s">
        <v>715</v>
      </c>
      <c r="H5" s="6" t="s">
        <v>716</v>
      </c>
    </row>
    <row r="6" spans="1:8" ht="15" customHeight="1" thickBot="1" x14ac:dyDescent="0.3">
      <c r="A6" s="14" t="s">
        <v>5</v>
      </c>
      <c r="B6" s="4" t="s">
        <v>487</v>
      </c>
      <c r="C6" s="6" t="s">
        <v>22</v>
      </c>
      <c r="D6" s="6" t="s">
        <v>22</v>
      </c>
      <c r="E6" s="6" t="s">
        <v>22</v>
      </c>
      <c r="F6" s="6" t="s">
        <v>22</v>
      </c>
      <c r="G6" s="6" t="s">
        <v>22</v>
      </c>
      <c r="H6" s="6" t="s">
        <v>22</v>
      </c>
    </row>
    <row r="7" spans="1:8" ht="15" customHeight="1" thickBot="1" x14ac:dyDescent="0.3">
      <c r="A7" s="14" t="s">
        <v>7</v>
      </c>
      <c r="B7" s="4" t="s">
        <v>6</v>
      </c>
      <c r="C7" s="6" t="s">
        <v>62</v>
      </c>
      <c r="D7" s="6" t="s">
        <v>595</v>
      </c>
      <c r="E7" s="6" t="s">
        <v>717</v>
      </c>
      <c r="F7" s="6" t="s">
        <v>718</v>
      </c>
      <c r="G7" s="6" t="s">
        <v>719</v>
      </c>
      <c r="H7" s="6" t="s">
        <v>720</v>
      </c>
    </row>
    <row r="8" spans="1:8" ht="15" customHeight="1" thickBot="1" x14ac:dyDescent="0.3">
      <c r="A8" s="14" t="s">
        <v>8</v>
      </c>
      <c r="B8" s="4" t="s">
        <v>7</v>
      </c>
      <c r="C8" s="6" t="s">
        <v>64</v>
      </c>
      <c r="D8" s="6" t="s">
        <v>63</v>
      </c>
      <c r="E8" s="6" t="s">
        <v>721</v>
      </c>
      <c r="F8" s="6" t="s">
        <v>591</v>
      </c>
      <c r="G8" s="6" t="s">
        <v>722</v>
      </c>
      <c r="H8" s="6" t="s">
        <v>723</v>
      </c>
    </row>
    <row r="9" spans="1:8" ht="15" customHeight="1" thickBot="1" x14ac:dyDescent="0.3">
      <c r="A9" s="14" t="s">
        <v>10</v>
      </c>
      <c r="B9" s="4" t="s">
        <v>9</v>
      </c>
      <c r="C9" s="6" t="s">
        <v>65</v>
      </c>
      <c r="D9" s="6" t="s">
        <v>596</v>
      </c>
      <c r="E9" s="6">
        <v>656</v>
      </c>
      <c r="F9" s="6" t="s">
        <v>724</v>
      </c>
      <c r="G9" s="6" t="s">
        <v>725</v>
      </c>
      <c r="H9" s="6" t="s">
        <v>726</v>
      </c>
    </row>
    <row r="10" spans="1:8" ht="15" customHeight="1" thickBot="1" x14ac:dyDescent="0.3">
      <c r="A10" s="14" t="s">
        <v>11</v>
      </c>
      <c r="B10" s="4" t="s">
        <v>10</v>
      </c>
      <c r="C10" s="6" t="s">
        <v>66</v>
      </c>
      <c r="D10" s="6" t="s">
        <v>597</v>
      </c>
      <c r="E10" s="6" t="s">
        <v>727</v>
      </c>
      <c r="F10" s="6" t="s">
        <v>728</v>
      </c>
      <c r="G10" s="6" t="s">
        <v>729</v>
      </c>
      <c r="H10" s="6" t="s">
        <v>231</v>
      </c>
    </row>
    <row r="11" spans="1:8" ht="15" customHeight="1" thickBot="1" x14ac:dyDescent="0.3">
      <c r="A11" s="14" t="s">
        <v>14</v>
      </c>
      <c r="B11" s="4" t="s">
        <v>12</v>
      </c>
      <c r="C11" s="6" t="s">
        <v>730</v>
      </c>
      <c r="D11" s="6" t="s">
        <v>731</v>
      </c>
      <c r="E11" s="6" t="s">
        <v>732</v>
      </c>
      <c r="F11" s="6" t="s">
        <v>733</v>
      </c>
      <c r="G11" s="6" t="s">
        <v>734</v>
      </c>
      <c r="H11" s="6" t="s">
        <v>731</v>
      </c>
    </row>
    <row r="12" spans="1:8" ht="15" customHeight="1" thickBot="1" x14ac:dyDescent="0.3">
      <c r="A12" s="14" t="s">
        <v>18</v>
      </c>
      <c r="B12" s="7" t="s">
        <v>13</v>
      </c>
      <c r="C12" s="8"/>
      <c r="D12" s="6"/>
      <c r="E12" s="6"/>
      <c r="F12" s="6"/>
      <c r="G12" s="6"/>
      <c r="H12" s="6"/>
    </row>
    <row r="13" spans="1:8" ht="15" customHeight="1" thickBot="1" x14ac:dyDescent="0.3">
      <c r="A13" s="14" t="s">
        <v>24</v>
      </c>
    </row>
    <row r="14" spans="1:8" ht="15" customHeight="1" thickBot="1" x14ac:dyDescent="0.3">
      <c r="A14" s="14" t="s">
        <v>43</v>
      </c>
      <c r="B14" s="4" t="s">
        <v>0</v>
      </c>
      <c r="C14" s="5">
        <v>2020</v>
      </c>
      <c r="D14" s="5">
        <v>2021</v>
      </c>
      <c r="E14" s="5">
        <v>2022</v>
      </c>
      <c r="F14" s="5">
        <v>2023</v>
      </c>
      <c r="G14" s="5">
        <v>2024</v>
      </c>
      <c r="H14" s="5">
        <v>2025</v>
      </c>
    </row>
    <row r="15" spans="1:8" ht="15" customHeight="1" thickBot="1" x14ac:dyDescent="0.3">
      <c r="A15" s="14" t="s">
        <v>28</v>
      </c>
      <c r="B15" s="4" t="s">
        <v>14</v>
      </c>
      <c r="C15" s="6" t="s">
        <v>15</v>
      </c>
      <c r="D15" s="6" t="s">
        <v>16</v>
      </c>
      <c r="E15" s="6" t="s">
        <v>17</v>
      </c>
      <c r="F15" s="6" t="s">
        <v>741</v>
      </c>
      <c r="G15" s="6" t="s">
        <v>742</v>
      </c>
      <c r="H15" s="6" t="s">
        <v>743</v>
      </c>
    </row>
    <row r="16" spans="1:8" ht="15" customHeight="1" thickBot="1" x14ac:dyDescent="0.3">
      <c r="A16" s="14" t="s">
        <v>33</v>
      </c>
      <c r="B16" s="4" t="s">
        <v>23</v>
      </c>
      <c r="C16" s="6" t="s">
        <v>19</v>
      </c>
      <c r="D16" s="6" t="s">
        <v>20</v>
      </c>
      <c r="E16" s="6" t="s">
        <v>21</v>
      </c>
      <c r="F16" s="6" t="s">
        <v>744</v>
      </c>
      <c r="G16" s="6" t="s">
        <v>22</v>
      </c>
      <c r="H16" s="6" t="s">
        <v>22</v>
      </c>
    </row>
    <row r="17" spans="1:16" ht="15" customHeight="1" thickBot="1" x14ac:dyDescent="0.3">
      <c r="A17" s="14" t="s">
        <v>38</v>
      </c>
      <c r="B17" s="4" t="s">
        <v>24</v>
      </c>
      <c r="C17" s="6" t="s">
        <v>25</v>
      </c>
      <c r="D17" s="6" t="s">
        <v>26</v>
      </c>
      <c r="E17" s="6" t="s">
        <v>27</v>
      </c>
      <c r="F17" s="6" t="s">
        <v>745</v>
      </c>
      <c r="G17" s="6" t="s">
        <v>746</v>
      </c>
      <c r="H17" s="6" t="s">
        <v>747</v>
      </c>
    </row>
    <row r="18" spans="1:16" ht="15" customHeight="1" thickBot="1" x14ac:dyDescent="0.3">
      <c r="A18" s="14" t="s">
        <v>44</v>
      </c>
      <c r="B18" s="4" t="s">
        <v>43</v>
      </c>
      <c r="C18" s="9">
        <v>10901</v>
      </c>
      <c r="D18" s="9">
        <v>16665</v>
      </c>
      <c r="E18" s="9">
        <v>26934</v>
      </c>
      <c r="F18" s="9">
        <v>27085</v>
      </c>
      <c r="G18" s="6" t="s">
        <v>22</v>
      </c>
      <c r="H18" s="6" t="s">
        <v>22</v>
      </c>
    </row>
    <row r="19" spans="1:16" ht="15" customHeight="1" thickBot="1" x14ac:dyDescent="0.3">
      <c r="A19" s="14" t="s">
        <v>46</v>
      </c>
      <c r="B19" s="4" t="s">
        <v>32</v>
      </c>
      <c r="C19" s="6" t="s">
        <v>29</v>
      </c>
      <c r="D19" s="6" t="s">
        <v>30</v>
      </c>
      <c r="E19" s="6" t="s">
        <v>31</v>
      </c>
      <c r="F19" s="6" t="s">
        <v>748</v>
      </c>
      <c r="G19" s="6" t="s">
        <v>749</v>
      </c>
      <c r="H19" s="6" t="s">
        <v>750</v>
      </c>
    </row>
    <row r="20" spans="1:16" ht="15" customHeight="1" thickBot="1" x14ac:dyDescent="0.3">
      <c r="A20" s="14" t="s">
        <v>51</v>
      </c>
      <c r="B20" s="4" t="s">
        <v>33</v>
      </c>
      <c r="C20" s="6" t="s">
        <v>34</v>
      </c>
      <c r="D20" s="6" t="s">
        <v>35</v>
      </c>
      <c r="E20" s="6" t="s">
        <v>36</v>
      </c>
      <c r="F20" s="6" t="s">
        <v>592</v>
      </c>
      <c r="G20" s="6" t="s">
        <v>751</v>
      </c>
      <c r="H20" s="6" t="s">
        <v>752</v>
      </c>
    </row>
    <row r="21" spans="1:16" ht="15" customHeight="1" thickBot="1" x14ac:dyDescent="0.3">
      <c r="A21" s="14" t="s">
        <v>1</v>
      </c>
      <c r="B21" s="4" t="s">
        <v>38</v>
      </c>
      <c r="C21" s="6" t="s">
        <v>39</v>
      </c>
      <c r="D21" s="6" t="s">
        <v>40</v>
      </c>
      <c r="E21" s="6" t="s">
        <v>41</v>
      </c>
      <c r="F21" s="6" t="s">
        <v>753</v>
      </c>
      <c r="G21" s="6" t="s">
        <v>754</v>
      </c>
      <c r="H21" s="6" t="s">
        <v>755</v>
      </c>
    </row>
    <row r="22" spans="1:16" ht="15" customHeight="1" thickBot="1" x14ac:dyDescent="0.3">
      <c r="A22" s="14" t="s">
        <v>487</v>
      </c>
      <c r="B22" s="7" t="s">
        <v>42</v>
      </c>
      <c r="C22" s="8"/>
      <c r="D22" s="6"/>
      <c r="E22" s="6"/>
      <c r="F22" s="6"/>
      <c r="G22" s="6"/>
      <c r="H22" s="6"/>
    </row>
    <row r="23" spans="1:16" ht="15" customHeight="1" thickBot="1" x14ac:dyDescent="0.3">
      <c r="A23" s="14" t="s">
        <v>5</v>
      </c>
    </row>
    <row r="24" spans="1:16" ht="15" customHeight="1" thickBot="1" x14ac:dyDescent="0.3">
      <c r="A24" s="14" t="s">
        <v>7</v>
      </c>
      <c r="B24" s="4" t="s">
        <v>0</v>
      </c>
      <c r="C24" s="5">
        <v>2020</v>
      </c>
      <c r="D24" s="5">
        <v>2021</v>
      </c>
      <c r="E24" s="5">
        <v>2022</v>
      </c>
      <c r="F24" s="5">
        <v>2023</v>
      </c>
      <c r="G24" s="5">
        <v>2024</v>
      </c>
      <c r="H24" s="5">
        <v>2025</v>
      </c>
    </row>
    <row r="25" spans="1:16" ht="15" customHeight="1" thickBot="1" x14ac:dyDescent="0.3">
      <c r="A25" s="14" t="s">
        <v>8</v>
      </c>
      <c r="B25" s="4" t="s">
        <v>45</v>
      </c>
      <c r="C25" s="6" t="s">
        <v>22</v>
      </c>
      <c r="D25" s="6" t="s">
        <v>22</v>
      </c>
      <c r="E25" s="6" t="s">
        <v>22</v>
      </c>
      <c r="F25" s="6" t="s">
        <v>22</v>
      </c>
      <c r="G25" s="6" t="s">
        <v>22</v>
      </c>
      <c r="H25" s="6" t="s">
        <v>22</v>
      </c>
    </row>
    <row r="26" spans="1:16" ht="15" customHeight="1" thickBot="1" x14ac:dyDescent="0.3">
      <c r="A26" s="14" t="s">
        <v>10</v>
      </c>
      <c r="B26" s="4" t="s">
        <v>50</v>
      </c>
      <c r="C26" s="6" t="s">
        <v>47</v>
      </c>
      <c r="D26" s="6" t="s">
        <v>48</v>
      </c>
      <c r="E26" s="6" t="s">
        <v>49</v>
      </c>
      <c r="F26" s="6" t="s">
        <v>738</v>
      </c>
      <c r="G26" s="6" t="s">
        <v>739</v>
      </c>
      <c r="H26" s="6" t="s">
        <v>740</v>
      </c>
    </row>
    <row r="27" spans="1:16" ht="15" customHeight="1" thickBot="1" x14ac:dyDescent="0.3">
      <c r="B27" s="4" t="s">
        <v>51</v>
      </c>
      <c r="C27" s="6" t="s">
        <v>52</v>
      </c>
      <c r="D27" s="6" t="s">
        <v>53</v>
      </c>
      <c r="E27" s="6" t="s">
        <v>54</v>
      </c>
      <c r="F27" s="6" t="s">
        <v>735</v>
      </c>
      <c r="G27" s="6" t="s">
        <v>736</v>
      </c>
      <c r="H27" s="6" t="s">
        <v>737</v>
      </c>
    </row>
    <row r="28" spans="1:16" ht="15" customHeight="1" thickBot="1" x14ac:dyDescent="0.3">
      <c r="B28" s="7" t="s">
        <v>13</v>
      </c>
      <c r="C28" s="8"/>
      <c r="D28" s="6"/>
      <c r="E28" s="6"/>
      <c r="F28" s="6"/>
      <c r="G28" s="6"/>
      <c r="H28" s="6"/>
    </row>
    <row r="29" spans="1:16" ht="15" customHeight="1" thickBot="1" x14ac:dyDescent="0.3"/>
    <row r="30" spans="1:16" ht="15" customHeight="1" thickBot="1" x14ac:dyDescent="0.3">
      <c r="B30" s="4" t="s">
        <v>0</v>
      </c>
      <c r="C30" s="5" t="s">
        <v>57</v>
      </c>
      <c r="D30" s="5" t="s">
        <v>58</v>
      </c>
      <c r="E30" s="5" t="s">
        <v>59</v>
      </c>
      <c r="F30" s="5" t="s">
        <v>60</v>
      </c>
      <c r="G30" s="5" t="s">
        <v>593</v>
      </c>
      <c r="H30" s="5" t="s">
        <v>712</v>
      </c>
      <c r="J30" s="1" t="s">
        <v>0</v>
      </c>
      <c r="K30" t="str">
        <f>VLOOKUP(J30,B4:H36,2,FALSE)</f>
        <v>2022 Q4</v>
      </c>
      <c r="L30" t="str">
        <f>VLOOKUP(J30,B4:H36,3,FALSE)</f>
        <v>2023 Q1</v>
      </c>
      <c r="M30" t="str">
        <f>VLOOKUP(J30,B4:H36,4,FALSE)</f>
        <v>2023 Q2</v>
      </c>
      <c r="N30" t="str">
        <f>VLOOKUP(J30,B4:H36,5,FALSE)</f>
        <v>2023 Q3</v>
      </c>
      <c r="O30" t="str">
        <f>VLOOKUP(J30,B4:H36,6,FALSE)</f>
        <v>2023 Q4</v>
      </c>
      <c r="P30" t="str">
        <f>VLOOKUP(J30,B4:H36,7,FALSE)</f>
        <v>2024 Q1</v>
      </c>
    </row>
    <row r="31" spans="1:16" ht="15" customHeight="1" thickBot="1" x14ac:dyDescent="0.3">
      <c r="B31" s="4" t="s">
        <v>2</v>
      </c>
      <c r="C31" s="6" t="s">
        <v>61</v>
      </c>
      <c r="D31" s="6" t="s">
        <v>594</v>
      </c>
      <c r="E31" s="6" t="s">
        <v>713</v>
      </c>
      <c r="F31" s="6" t="s">
        <v>714</v>
      </c>
      <c r="G31" s="6" t="s">
        <v>715</v>
      </c>
      <c r="H31" s="6" t="s">
        <v>716</v>
      </c>
      <c r="J31" s="1" t="s">
        <v>1</v>
      </c>
      <c r="K31">
        <f>VALUE(SUBSTITUTE(SUBSTITUTE(SUBSTITUTE(SUBSTITUTE(VLOOKUP(J31,B4:H36,2,FALSE)," ",""),"x",""),"%",""),",","."))</f>
        <v>7643</v>
      </c>
      <c r="L31">
        <f>VALUE(SUBSTITUTE(SUBSTITUTE(SUBSTITUTE(SUBSTITUTE(VLOOKUP(J31,B4:H36,3,FALSE)," ",""),"x",""),"%",""),",","."))</f>
        <v>8288</v>
      </c>
      <c r="M31">
        <f>VALUE(SUBSTITUTE(SUBSTITUTE(SUBSTITUTE(SUBSTITUTE(VLOOKUP(J31,B4:H36,4,FALSE)," ",""),"x",""),"%",""),",","."))</f>
        <v>6704</v>
      </c>
      <c r="N31">
        <f>VALUE(SUBSTITUTE(SUBSTITUTE(SUBSTITUTE(SUBSTITUTE(VLOOKUP(J31,B4:H36,5,FALSE)," ",""),"x",""),"%",""),",","."))</f>
        <v>5858</v>
      </c>
      <c r="O31">
        <f>VALUE(SUBSTITUTE(SUBSTITUTE(SUBSTITUTE(SUBSTITUTE(VLOOKUP(J31,B4:H36,6,FALSE)," ",""),"x",""),"%",""),",","."))</f>
        <v>6225</v>
      </c>
      <c r="P31">
        <f>VALUE(SUBSTITUTE(SUBSTITUTE(SUBSTITUTE(SUBSTITUTE(VLOOKUP(J31,B4:H36,7,FALSE)," ",""),"x",""),"%",""),",","."))</f>
        <v>6754</v>
      </c>
    </row>
    <row r="32" spans="1:16" ht="15" customHeight="1" thickBot="1" x14ac:dyDescent="0.3">
      <c r="B32" s="4" t="s">
        <v>487</v>
      </c>
      <c r="C32" s="6" t="s">
        <v>22</v>
      </c>
      <c r="D32" s="6" t="s">
        <v>22</v>
      </c>
      <c r="E32" s="6" t="s">
        <v>22</v>
      </c>
      <c r="F32" s="6" t="s">
        <v>22</v>
      </c>
      <c r="G32" s="6" t="s">
        <v>22</v>
      </c>
      <c r="H32" s="6" t="s">
        <v>22</v>
      </c>
      <c r="J32" t="s">
        <v>88</v>
      </c>
      <c r="L32" s="11">
        <f>(L31-K31)/K31</f>
        <v>8.4390945963626854E-2</v>
      </c>
      <c r="M32" s="11">
        <f>(M31-L31)/L31</f>
        <v>-0.19111969111969113</v>
      </c>
      <c r="N32" s="11">
        <f>(N31-M31)/M31</f>
        <v>-0.12619331742243436</v>
      </c>
      <c r="O32" s="11">
        <f>(O31-N31)/N31</f>
        <v>6.2649368385114368E-2</v>
      </c>
      <c r="P32" s="11">
        <f>(P31-O31)/O31</f>
        <v>8.4979919678714863E-2</v>
      </c>
    </row>
    <row r="33" spans="2:11" ht="15" customHeight="1" thickBot="1" x14ac:dyDescent="0.3">
      <c r="B33" s="4" t="s">
        <v>6</v>
      </c>
      <c r="C33" s="6" t="s">
        <v>62</v>
      </c>
      <c r="D33" s="6" t="s">
        <v>595</v>
      </c>
      <c r="E33" s="6" t="s">
        <v>717</v>
      </c>
      <c r="F33" s="6" t="s">
        <v>718</v>
      </c>
      <c r="G33" s="6" t="s">
        <v>719</v>
      </c>
      <c r="H33" s="6" t="s">
        <v>720</v>
      </c>
    </row>
    <row r="34" spans="2:11" ht="15" customHeight="1" thickBot="1" x14ac:dyDescent="0.3">
      <c r="B34" s="4" t="s">
        <v>7</v>
      </c>
      <c r="C34" s="6" t="s">
        <v>64</v>
      </c>
      <c r="D34" s="6" t="s">
        <v>63</v>
      </c>
      <c r="E34" s="6" t="s">
        <v>721</v>
      </c>
      <c r="F34" s="6" t="s">
        <v>591</v>
      </c>
      <c r="G34" s="6" t="s">
        <v>722</v>
      </c>
      <c r="H34" s="6" t="s">
        <v>723</v>
      </c>
      <c r="J34" s="2" t="s">
        <v>70</v>
      </c>
      <c r="K34" s="6" t="s">
        <v>71</v>
      </c>
    </row>
    <row r="35" spans="2:11" ht="15" customHeight="1" thickBot="1" x14ac:dyDescent="0.3">
      <c r="B35" s="4" t="s">
        <v>9</v>
      </c>
      <c r="C35" s="6" t="s">
        <v>65</v>
      </c>
      <c r="D35" s="6" t="s">
        <v>596</v>
      </c>
      <c r="E35" s="6">
        <v>656</v>
      </c>
      <c r="F35" s="6" t="s">
        <v>724</v>
      </c>
      <c r="G35" s="6" t="s">
        <v>725</v>
      </c>
      <c r="H35" s="6" t="s">
        <v>726</v>
      </c>
      <c r="J35" s="2" t="s">
        <v>72</v>
      </c>
      <c r="K35" s="6" t="s">
        <v>73</v>
      </c>
    </row>
    <row r="36" spans="2:11" ht="15" customHeight="1" thickBot="1" x14ac:dyDescent="0.3">
      <c r="B36" s="4" t="s">
        <v>10</v>
      </c>
      <c r="C36" s="6" t="s">
        <v>66</v>
      </c>
      <c r="D36" s="6" t="s">
        <v>597</v>
      </c>
      <c r="E36" s="6" t="s">
        <v>727</v>
      </c>
      <c r="F36" s="6" t="s">
        <v>728</v>
      </c>
      <c r="G36" s="6" t="s">
        <v>729</v>
      </c>
      <c r="H36" s="6" t="s">
        <v>231</v>
      </c>
      <c r="J36" s="2" t="s">
        <v>74</v>
      </c>
      <c r="K36" s="6" t="s">
        <v>690</v>
      </c>
    </row>
    <row r="37" spans="2:11" ht="15" customHeight="1" thickBot="1" x14ac:dyDescent="0.3">
      <c r="B37" s="7" t="s">
        <v>13</v>
      </c>
      <c r="C37" s="8"/>
      <c r="D37" s="6"/>
      <c r="E37" s="6"/>
      <c r="F37" s="6"/>
      <c r="G37" s="6"/>
      <c r="H37" s="6"/>
    </row>
    <row r="38" spans="2:11" ht="15" customHeight="1" thickBot="1" x14ac:dyDescent="0.3">
      <c r="J38" s="4" t="s">
        <v>75</v>
      </c>
      <c r="K38" s="6">
        <v>131.66999999999999</v>
      </c>
    </row>
    <row r="39" spans="2:11" ht="15" customHeight="1" thickBot="1" x14ac:dyDescent="0.3">
      <c r="B39" s="2" t="s">
        <v>68</v>
      </c>
      <c r="C39" s="18">
        <v>2021</v>
      </c>
      <c r="D39" s="18"/>
      <c r="E39" s="18">
        <v>2022</v>
      </c>
      <c r="F39" s="18"/>
      <c r="G39" s="2" t="s">
        <v>89</v>
      </c>
      <c r="J39" s="4" t="s">
        <v>76</v>
      </c>
      <c r="K39" s="9">
        <v>55723348</v>
      </c>
    </row>
    <row r="40" spans="2:11" ht="15" customHeight="1" thickBot="1" x14ac:dyDescent="0.3">
      <c r="B40" s="2" t="s">
        <v>90</v>
      </c>
      <c r="C40" s="3" t="s">
        <v>91</v>
      </c>
      <c r="D40" s="15">
        <v>0.59</v>
      </c>
      <c r="E40" s="3" t="s">
        <v>92</v>
      </c>
      <c r="F40" s="15">
        <v>0.59</v>
      </c>
      <c r="G40" s="12">
        <v>0.61360000000000003</v>
      </c>
      <c r="J40" s="4" t="s">
        <v>77</v>
      </c>
      <c r="K40" s="6" t="s">
        <v>756</v>
      </c>
    </row>
    <row r="41" spans="2:11" ht="15" customHeight="1" thickBot="1" x14ac:dyDescent="0.3">
      <c r="B41" s="2" t="s">
        <v>93</v>
      </c>
      <c r="C41" s="3" t="s">
        <v>94</v>
      </c>
      <c r="D41" s="15">
        <v>0.41</v>
      </c>
      <c r="E41" s="3" t="s">
        <v>95</v>
      </c>
      <c r="F41" s="15">
        <v>0.41</v>
      </c>
      <c r="G41" s="12">
        <v>0.61470000000000002</v>
      </c>
      <c r="J41" s="4" t="s">
        <v>78</v>
      </c>
      <c r="K41" s="6">
        <v>1.69</v>
      </c>
    </row>
    <row r="42" spans="2:11" ht="15" customHeight="1" thickBot="1" x14ac:dyDescent="0.3">
      <c r="B42" s="2" t="s">
        <v>96</v>
      </c>
      <c r="C42" s="3"/>
      <c r="D42" s="3"/>
      <c r="E42" s="3"/>
      <c r="F42" s="3"/>
      <c r="G42" s="3"/>
      <c r="J42" s="4" t="s">
        <v>79</v>
      </c>
      <c r="K42" s="6" t="s">
        <v>696</v>
      </c>
    </row>
    <row r="43" spans="2:11" ht="15" customHeight="1" thickBot="1" x14ac:dyDescent="0.3">
      <c r="J43" s="4" t="s">
        <v>80</v>
      </c>
      <c r="K43" s="6" t="s">
        <v>697</v>
      </c>
    </row>
    <row r="44" spans="2:11" ht="15" customHeight="1" thickBot="1" x14ac:dyDescent="0.3">
      <c r="B44" s="2" t="s">
        <v>69</v>
      </c>
      <c r="C44" s="18">
        <v>2021</v>
      </c>
      <c r="D44" s="18"/>
      <c r="E44" s="18">
        <v>2022</v>
      </c>
      <c r="F44" s="18"/>
      <c r="G44" s="2" t="s">
        <v>89</v>
      </c>
      <c r="J44" s="4" t="s">
        <v>81</v>
      </c>
      <c r="K44" s="6">
        <v>196.75</v>
      </c>
    </row>
    <row r="45" spans="2:11" ht="15" customHeight="1" thickBot="1" x14ac:dyDescent="0.3">
      <c r="B45" s="2" t="s">
        <v>97</v>
      </c>
      <c r="C45" s="3" t="s">
        <v>98</v>
      </c>
      <c r="D45" s="12">
        <v>0.27200000000000002</v>
      </c>
      <c r="E45" s="3" t="s">
        <v>99</v>
      </c>
      <c r="F45" s="12">
        <v>0.317</v>
      </c>
      <c r="G45" s="12">
        <v>0.88570000000000004</v>
      </c>
      <c r="J45" s="4" t="s">
        <v>82</v>
      </c>
      <c r="K45" s="6" t="s">
        <v>698</v>
      </c>
    </row>
    <row r="46" spans="2:11" ht="15" customHeight="1" thickBot="1" x14ac:dyDescent="0.3">
      <c r="B46" s="2" t="s">
        <v>100</v>
      </c>
      <c r="C46" s="3" t="s">
        <v>101</v>
      </c>
      <c r="D46" s="12">
        <v>0.23300000000000001</v>
      </c>
      <c r="E46" s="3" t="s">
        <v>102</v>
      </c>
      <c r="F46" s="12">
        <v>0.26400000000000001</v>
      </c>
      <c r="G46" s="12">
        <v>0.82989999999999997</v>
      </c>
      <c r="J46" s="4" t="s">
        <v>83</v>
      </c>
      <c r="K46" s="6">
        <v>39.67</v>
      </c>
    </row>
    <row r="47" spans="2:11" ht="15" customHeight="1" thickBot="1" x14ac:dyDescent="0.3">
      <c r="B47" s="2" t="s">
        <v>103</v>
      </c>
      <c r="C47" s="3">
        <v>833</v>
      </c>
      <c r="D47" s="15">
        <v>0.05</v>
      </c>
      <c r="E47" s="3" t="s">
        <v>104</v>
      </c>
      <c r="F47" s="12">
        <v>0.25700000000000001</v>
      </c>
      <c r="G47" s="12">
        <v>7.2953000000000001</v>
      </c>
      <c r="J47" s="4" t="s">
        <v>84</v>
      </c>
      <c r="K47" s="6">
        <v>36.1</v>
      </c>
    </row>
    <row r="48" spans="2:11" ht="15" customHeight="1" thickBot="1" x14ac:dyDescent="0.3">
      <c r="B48" s="2" t="s">
        <v>105</v>
      </c>
      <c r="C48" s="3" t="s">
        <v>106</v>
      </c>
      <c r="D48" s="12">
        <v>0.193</v>
      </c>
      <c r="E48" s="3" t="s">
        <v>107</v>
      </c>
      <c r="F48" s="12">
        <v>0.16200000000000001</v>
      </c>
      <c r="G48" s="12">
        <v>0.35310000000000002</v>
      </c>
      <c r="J48" s="4" t="s">
        <v>85</v>
      </c>
      <c r="K48" s="6">
        <v>3.13</v>
      </c>
    </row>
    <row r="49" spans="2:11" ht="15" customHeight="1" thickBot="1" x14ac:dyDescent="0.3">
      <c r="B49" s="2" t="s">
        <v>96</v>
      </c>
      <c r="C49" s="3"/>
      <c r="D49" s="3"/>
      <c r="E49" s="3"/>
      <c r="F49" s="3"/>
      <c r="G49" s="3"/>
    </row>
    <row r="50" spans="2:11" ht="15" customHeight="1" thickBot="1" x14ac:dyDescent="0.3">
      <c r="J50" s="4" t="s">
        <v>362</v>
      </c>
      <c r="K50" s="6" t="s">
        <v>699</v>
      </c>
    </row>
    <row r="51" spans="2:11" ht="15" customHeight="1" thickBot="1" x14ac:dyDescent="0.3">
      <c r="B51" s="4" t="s">
        <v>598</v>
      </c>
      <c r="C51" s="5"/>
      <c r="D51" s="5"/>
      <c r="E51" s="5"/>
      <c r="J51" s="4" t="s">
        <v>364</v>
      </c>
      <c r="K51" s="6" t="s">
        <v>700</v>
      </c>
    </row>
    <row r="52" spans="2:11" ht="15" customHeight="1" thickBot="1" x14ac:dyDescent="0.3">
      <c r="B52" s="4" t="s">
        <v>280</v>
      </c>
      <c r="C52" s="6" t="s">
        <v>313</v>
      </c>
      <c r="D52" s="6" t="s">
        <v>282</v>
      </c>
      <c r="E52" s="6" t="s">
        <v>314</v>
      </c>
      <c r="J52" s="4" t="s">
        <v>361</v>
      </c>
      <c r="K52" s="6">
        <v>9.58</v>
      </c>
    </row>
    <row r="53" spans="2:11" ht="15" customHeight="1" thickBot="1" x14ac:dyDescent="0.3">
      <c r="B53" s="16">
        <v>44773</v>
      </c>
      <c r="C53" s="6" t="s">
        <v>705</v>
      </c>
      <c r="D53" s="6" t="s">
        <v>706</v>
      </c>
      <c r="E53" s="6">
        <v>3.62</v>
      </c>
    </row>
    <row r="54" spans="2:11" ht="15" customHeight="1" thickBot="1" x14ac:dyDescent="0.3">
      <c r="B54" s="16">
        <v>44681</v>
      </c>
      <c r="C54" s="6" t="s">
        <v>599</v>
      </c>
      <c r="D54" s="6" t="s">
        <v>600</v>
      </c>
      <c r="E54" s="6">
        <v>5.32</v>
      </c>
      <c r="J54" s="4" t="s">
        <v>691</v>
      </c>
      <c r="K54" s="6" t="s">
        <v>701</v>
      </c>
    </row>
    <row r="55" spans="2:11" ht="15" customHeight="1" thickBot="1" x14ac:dyDescent="0.3">
      <c r="B55" s="16">
        <v>44592</v>
      </c>
      <c r="C55" s="6" t="s">
        <v>601</v>
      </c>
      <c r="D55" s="6" t="s">
        <v>602</v>
      </c>
      <c r="E55" s="6">
        <v>6.65</v>
      </c>
      <c r="J55" s="4" t="s">
        <v>692</v>
      </c>
      <c r="K55" s="6" t="s">
        <v>702</v>
      </c>
    </row>
    <row r="56" spans="2:11" ht="15" customHeight="1" thickBot="1" x14ac:dyDescent="0.3">
      <c r="B56" s="16">
        <v>44500</v>
      </c>
      <c r="C56" s="6" t="s">
        <v>603</v>
      </c>
      <c r="D56" s="6" t="s">
        <v>604</v>
      </c>
      <c r="E56" s="6">
        <v>7.15</v>
      </c>
      <c r="J56" s="4" t="s">
        <v>693</v>
      </c>
      <c r="K56" s="6">
        <v>0.54</v>
      </c>
    </row>
    <row r="57" spans="2:11" ht="15" customHeight="1" thickBot="1" x14ac:dyDescent="0.3">
      <c r="B57" s="16">
        <v>44408</v>
      </c>
      <c r="C57" s="6" t="s">
        <v>603</v>
      </c>
      <c r="D57" s="6" t="s">
        <v>605</v>
      </c>
      <c r="E57" s="6">
        <v>5.8</v>
      </c>
      <c r="J57" s="4" t="s">
        <v>694</v>
      </c>
      <c r="K57" s="13">
        <v>1.2800000000000001E-2</v>
      </c>
    </row>
    <row r="58" spans="2:11" ht="15" customHeight="1" thickBot="1" x14ac:dyDescent="0.3">
      <c r="B58" s="16">
        <v>44316</v>
      </c>
      <c r="C58" s="6" t="s">
        <v>606</v>
      </c>
      <c r="D58" s="6" t="s">
        <v>607</v>
      </c>
      <c r="E58" s="6">
        <v>4.53</v>
      </c>
    </row>
    <row r="59" spans="2:11" ht="15" customHeight="1" thickBot="1" x14ac:dyDescent="0.3">
      <c r="B59" s="16">
        <v>44227</v>
      </c>
      <c r="C59" s="6" t="s">
        <v>608</v>
      </c>
      <c r="D59" s="6" t="s">
        <v>609</v>
      </c>
      <c r="E59" s="6">
        <v>4.09</v>
      </c>
      <c r="J59" s="4" t="s">
        <v>86</v>
      </c>
      <c r="K59" s="6" t="s">
        <v>703</v>
      </c>
    </row>
    <row r="60" spans="2:11" ht="15" customHeight="1" thickBot="1" x14ac:dyDescent="0.3">
      <c r="B60" s="16">
        <v>44135</v>
      </c>
      <c r="C60" s="6" t="s">
        <v>610</v>
      </c>
      <c r="D60" s="6" t="s">
        <v>611</v>
      </c>
      <c r="E60" s="6">
        <v>3.92</v>
      </c>
      <c r="J60" s="4" t="s">
        <v>87</v>
      </c>
      <c r="K60" s="6" t="s">
        <v>704</v>
      </c>
    </row>
    <row r="61" spans="2:11" ht="15" customHeight="1" thickBot="1" x14ac:dyDescent="0.3">
      <c r="B61" s="16">
        <v>44043</v>
      </c>
      <c r="C61" s="6" t="s">
        <v>612</v>
      </c>
      <c r="D61" s="6" t="s">
        <v>613</v>
      </c>
      <c r="E61" s="6">
        <v>6.09</v>
      </c>
    </row>
    <row r="62" spans="2:11" ht="15" customHeight="1" thickBot="1" x14ac:dyDescent="0.3">
      <c r="B62" s="16">
        <v>43951</v>
      </c>
      <c r="C62" s="6" t="s">
        <v>614</v>
      </c>
      <c r="D62" s="6" t="s">
        <v>615</v>
      </c>
      <c r="E62" s="6">
        <v>10.29</v>
      </c>
    </row>
    <row r="63" spans="2:11" ht="15" customHeight="1" thickBot="1" x14ac:dyDescent="0.3">
      <c r="B63" s="16">
        <v>43861</v>
      </c>
      <c r="C63" s="6" t="s">
        <v>616</v>
      </c>
      <c r="D63" s="6" t="s">
        <v>617</v>
      </c>
      <c r="E63" s="6">
        <v>7.67</v>
      </c>
    </row>
    <row r="64" spans="2:11" ht="15" customHeight="1" thickBot="1" x14ac:dyDescent="0.3">
      <c r="B64" s="16">
        <v>43769</v>
      </c>
      <c r="C64" s="6" t="s">
        <v>618</v>
      </c>
      <c r="D64" s="6" t="s">
        <v>619</v>
      </c>
      <c r="E64" s="6">
        <v>8.42</v>
      </c>
    </row>
    <row r="65" spans="2:5" ht="15" customHeight="1" thickBot="1" x14ac:dyDescent="0.3">
      <c r="B65" s="16">
        <v>43677</v>
      </c>
      <c r="C65" s="6" t="s">
        <v>620</v>
      </c>
      <c r="D65" s="6" t="s">
        <v>621</v>
      </c>
      <c r="E65" s="6">
        <v>8.65</v>
      </c>
    </row>
    <row r="66" spans="2:5" ht="15" customHeight="1" thickBot="1" x14ac:dyDescent="0.3">
      <c r="B66" s="16">
        <v>43585</v>
      </c>
      <c r="C66" s="6" t="s">
        <v>622</v>
      </c>
      <c r="D66" s="6" t="s">
        <v>623</v>
      </c>
      <c r="E66" s="6">
        <v>8.99</v>
      </c>
    </row>
    <row r="67" spans="2:5" ht="15" customHeight="1" thickBot="1" x14ac:dyDescent="0.3"/>
    <row r="68" spans="2:5" ht="15" customHeight="1" thickBot="1" x14ac:dyDescent="0.3">
      <c r="B68" s="4" t="s">
        <v>624</v>
      </c>
      <c r="C68" s="5"/>
      <c r="D68" s="5"/>
      <c r="E68" s="5"/>
    </row>
    <row r="69" spans="2:5" ht="15" customHeight="1" thickBot="1" x14ac:dyDescent="0.3">
      <c r="B69" s="4" t="s">
        <v>280</v>
      </c>
      <c r="C69" s="6" t="s">
        <v>281</v>
      </c>
      <c r="D69" s="6" t="s">
        <v>282</v>
      </c>
      <c r="E69" s="6" t="s">
        <v>283</v>
      </c>
    </row>
    <row r="70" spans="2:5" ht="15" customHeight="1" thickBot="1" x14ac:dyDescent="0.3">
      <c r="B70" s="16">
        <v>44773</v>
      </c>
      <c r="C70" s="6" t="s">
        <v>707</v>
      </c>
      <c r="D70" s="6" t="s">
        <v>706</v>
      </c>
      <c r="E70" s="6">
        <v>3.11</v>
      </c>
    </row>
    <row r="71" spans="2:5" ht="15" customHeight="1" thickBot="1" x14ac:dyDescent="0.3">
      <c r="B71" s="16">
        <v>44681</v>
      </c>
      <c r="C71" s="6" t="s">
        <v>625</v>
      </c>
      <c r="D71" s="6" t="s">
        <v>600</v>
      </c>
      <c r="E71" s="6">
        <v>4.75</v>
      </c>
    </row>
    <row r="72" spans="2:5" ht="15" customHeight="1" thickBot="1" x14ac:dyDescent="0.3">
      <c r="B72" s="16">
        <v>44592</v>
      </c>
      <c r="C72" s="6" t="s">
        <v>626</v>
      </c>
      <c r="D72" s="6" t="s">
        <v>602</v>
      </c>
      <c r="E72" s="6">
        <v>6.05</v>
      </c>
    </row>
    <row r="73" spans="2:5" ht="15" customHeight="1" thickBot="1" x14ac:dyDescent="0.3">
      <c r="B73" s="16">
        <v>44500</v>
      </c>
      <c r="C73" s="6" t="s">
        <v>627</v>
      </c>
      <c r="D73" s="6" t="s">
        <v>604</v>
      </c>
      <c r="E73" s="6">
        <v>6.53</v>
      </c>
    </row>
    <row r="74" spans="2:5" ht="15" customHeight="1" thickBot="1" x14ac:dyDescent="0.3">
      <c r="B74" s="16">
        <v>44408</v>
      </c>
      <c r="C74" s="6" t="s">
        <v>628</v>
      </c>
      <c r="D74" s="6" t="s">
        <v>605</v>
      </c>
      <c r="E74" s="6">
        <v>5.33</v>
      </c>
    </row>
    <row r="75" spans="2:5" ht="15" customHeight="1" thickBot="1" x14ac:dyDescent="0.3">
      <c r="B75" s="16">
        <v>44316</v>
      </c>
      <c r="C75" s="6" t="s">
        <v>629</v>
      </c>
      <c r="D75" s="6" t="s">
        <v>607</v>
      </c>
      <c r="E75" s="6">
        <v>4.03</v>
      </c>
    </row>
    <row r="76" spans="2:5" ht="15" customHeight="1" thickBot="1" x14ac:dyDescent="0.3">
      <c r="B76" s="16">
        <v>44227</v>
      </c>
      <c r="C76" s="6" t="s">
        <v>630</v>
      </c>
      <c r="D76" s="6" t="s">
        <v>609</v>
      </c>
      <c r="E76" s="6">
        <v>3.63</v>
      </c>
    </row>
    <row r="77" spans="2:5" ht="15" customHeight="1" thickBot="1" x14ac:dyDescent="0.3">
      <c r="B77" s="16">
        <v>44135</v>
      </c>
      <c r="C77" s="6" t="s">
        <v>631</v>
      </c>
      <c r="D77" s="6" t="s">
        <v>611</v>
      </c>
      <c r="E77" s="6">
        <v>3.52</v>
      </c>
    </row>
    <row r="78" spans="2:5" ht="15" customHeight="1" thickBot="1" x14ac:dyDescent="0.3">
      <c r="B78" s="16">
        <v>44043</v>
      </c>
      <c r="C78" s="6" t="s">
        <v>632</v>
      </c>
      <c r="D78" s="6" t="s">
        <v>613</v>
      </c>
      <c r="E78" s="6">
        <v>5.51</v>
      </c>
    </row>
    <row r="79" spans="2:5" ht="15" customHeight="1" thickBot="1" x14ac:dyDescent="0.3">
      <c r="B79" s="16">
        <v>43951</v>
      </c>
      <c r="C79" s="6" t="s">
        <v>633</v>
      </c>
      <c r="D79" s="6" t="s">
        <v>615</v>
      </c>
      <c r="E79" s="6">
        <v>9.6999999999999993</v>
      </c>
    </row>
    <row r="80" spans="2:5" ht="15" customHeight="1" thickBot="1" x14ac:dyDescent="0.3">
      <c r="B80" s="16">
        <v>43861</v>
      </c>
      <c r="C80" s="6" t="s">
        <v>634</v>
      </c>
      <c r="D80" s="6" t="s">
        <v>617</v>
      </c>
      <c r="E80" s="6">
        <v>7.13</v>
      </c>
    </row>
    <row r="81" spans="2:5" ht="15" customHeight="1" thickBot="1" x14ac:dyDescent="0.3">
      <c r="B81" s="16">
        <v>43769</v>
      </c>
      <c r="C81" s="6" t="s">
        <v>635</v>
      </c>
      <c r="D81" s="6" t="s">
        <v>619</v>
      </c>
      <c r="E81" s="6">
        <v>7.71</v>
      </c>
    </row>
    <row r="82" spans="2:5" ht="15" customHeight="1" thickBot="1" x14ac:dyDescent="0.3">
      <c r="B82" s="16">
        <v>43677</v>
      </c>
      <c r="C82" s="6" t="s">
        <v>636</v>
      </c>
      <c r="D82" s="6" t="s">
        <v>621</v>
      </c>
      <c r="E82" s="6">
        <v>7.74</v>
      </c>
    </row>
    <row r="83" spans="2:5" ht="15" customHeight="1" thickBot="1" x14ac:dyDescent="0.3">
      <c r="B83" s="16">
        <v>43585</v>
      </c>
      <c r="C83" s="6" t="s">
        <v>637</v>
      </c>
      <c r="D83" s="6" t="s">
        <v>623</v>
      </c>
      <c r="E83" s="6">
        <v>7.78</v>
      </c>
    </row>
    <row r="84" spans="2:5" ht="15" customHeight="1" thickBot="1" x14ac:dyDescent="0.3"/>
    <row r="85" spans="2:5" ht="15" customHeight="1" thickBot="1" x14ac:dyDescent="0.3">
      <c r="B85" s="4" t="s">
        <v>638</v>
      </c>
      <c r="C85" s="5"/>
      <c r="D85" s="5"/>
      <c r="E85" s="5"/>
    </row>
    <row r="86" spans="2:5" ht="15" customHeight="1" thickBot="1" x14ac:dyDescent="0.3">
      <c r="B86" s="4" t="s">
        <v>280</v>
      </c>
      <c r="C86" s="6" t="s">
        <v>330</v>
      </c>
      <c r="D86" s="6" t="s">
        <v>331</v>
      </c>
      <c r="E86" s="6" t="s">
        <v>332</v>
      </c>
    </row>
    <row r="87" spans="2:5" ht="15" customHeight="1" thickBot="1" x14ac:dyDescent="0.3">
      <c r="B87" s="16">
        <v>44773</v>
      </c>
      <c r="C87" s="6" t="s">
        <v>708</v>
      </c>
      <c r="D87" s="6" t="s">
        <v>709</v>
      </c>
      <c r="E87" s="6">
        <v>0.82</v>
      </c>
    </row>
    <row r="88" spans="2:5" ht="15" customHeight="1" thickBot="1" x14ac:dyDescent="0.3">
      <c r="B88" s="16">
        <v>44681</v>
      </c>
      <c r="C88" s="6" t="s">
        <v>639</v>
      </c>
      <c r="D88" s="6" t="s">
        <v>640</v>
      </c>
      <c r="E88" s="6">
        <v>0.72</v>
      </c>
    </row>
    <row r="89" spans="2:5" ht="15" customHeight="1" thickBot="1" x14ac:dyDescent="0.3">
      <c r="B89" s="16">
        <v>44592</v>
      </c>
      <c r="C89" s="6" t="s">
        <v>641</v>
      </c>
      <c r="D89" s="6" t="s">
        <v>642</v>
      </c>
      <c r="E89" s="6">
        <v>0.66</v>
      </c>
    </row>
    <row r="90" spans="2:5" ht="15" customHeight="1" thickBot="1" x14ac:dyDescent="0.3">
      <c r="B90" s="16">
        <v>44500</v>
      </c>
      <c r="C90" s="6" t="s">
        <v>643</v>
      </c>
      <c r="D90" s="6" t="s">
        <v>644</v>
      </c>
      <c r="E90" s="6">
        <v>0.71</v>
      </c>
    </row>
    <row r="91" spans="2:5" ht="15" customHeight="1" thickBot="1" x14ac:dyDescent="0.3">
      <c r="B91" s="16">
        <v>44408</v>
      </c>
      <c r="C91" s="6" t="s">
        <v>645</v>
      </c>
      <c r="D91" s="6" t="s">
        <v>646</v>
      </c>
      <c r="E91" s="6">
        <v>0.83</v>
      </c>
    </row>
    <row r="92" spans="2:5" ht="15" customHeight="1" thickBot="1" x14ac:dyDescent="0.3">
      <c r="B92" s="16">
        <v>44316</v>
      </c>
      <c r="C92" s="6" t="s">
        <v>647</v>
      </c>
      <c r="D92" s="6" t="s">
        <v>648</v>
      </c>
      <c r="E92" s="6">
        <v>0.64</v>
      </c>
    </row>
    <row r="93" spans="2:5" ht="15" customHeight="1" thickBot="1" x14ac:dyDescent="0.3">
      <c r="B93" s="16">
        <v>44227</v>
      </c>
      <c r="C93" s="6" t="s">
        <v>649</v>
      </c>
      <c r="D93" s="6" t="s">
        <v>650</v>
      </c>
      <c r="E93" s="6">
        <v>0.7</v>
      </c>
    </row>
    <row r="94" spans="2:5" ht="15" customHeight="1" thickBot="1" x14ac:dyDescent="0.3">
      <c r="B94" s="16">
        <v>44135</v>
      </c>
      <c r="C94" s="6" t="s">
        <v>651</v>
      </c>
      <c r="D94" s="6" t="s">
        <v>652</v>
      </c>
      <c r="E94" s="6">
        <v>0.75</v>
      </c>
    </row>
    <row r="95" spans="2:5" ht="15" customHeight="1" thickBot="1" x14ac:dyDescent="0.3">
      <c r="B95" s="16">
        <v>44043</v>
      </c>
      <c r="C95" s="6" t="s">
        <v>653</v>
      </c>
      <c r="D95" s="6" t="s">
        <v>654</v>
      </c>
      <c r="E95" s="6">
        <v>0.81</v>
      </c>
    </row>
    <row r="96" spans="2:5" ht="15" customHeight="1" thickBot="1" x14ac:dyDescent="0.3">
      <c r="B96" s="16">
        <v>43951</v>
      </c>
      <c r="C96" s="6" t="s">
        <v>655</v>
      </c>
      <c r="D96" s="6" t="s">
        <v>656</v>
      </c>
      <c r="E96" s="6">
        <v>0.78</v>
      </c>
    </row>
    <row r="97" spans="2:5" ht="15" customHeight="1" thickBot="1" x14ac:dyDescent="0.3">
      <c r="B97" s="16">
        <v>43861</v>
      </c>
      <c r="C97" s="6" t="s">
        <v>657</v>
      </c>
      <c r="D97" s="6" t="s">
        <v>658</v>
      </c>
      <c r="E97" s="6">
        <v>0.42</v>
      </c>
    </row>
    <row r="98" spans="2:5" ht="15" customHeight="1" thickBot="1" x14ac:dyDescent="0.3">
      <c r="B98" s="16">
        <v>43769</v>
      </c>
      <c r="C98" s="6" t="s">
        <v>659</v>
      </c>
      <c r="D98" s="6" t="s">
        <v>660</v>
      </c>
      <c r="E98" s="6">
        <v>0.41</v>
      </c>
    </row>
    <row r="99" spans="2:5" ht="15" customHeight="1" thickBot="1" x14ac:dyDescent="0.3">
      <c r="B99" s="16">
        <v>43677</v>
      </c>
      <c r="C99" s="6" t="s">
        <v>661</v>
      </c>
      <c r="D99" s="6" t="s">
        <v>662</v>
      </c>
      <c r="E99" s="6">
        <v>0.43</v>
      </c>
    </row>
    <row r="100" spans="2:5" ht="15" customHeight="1" thickBot="1" x14ac:dyDescent="0.3">
      <c r="B100" s="16">
        <v>43585</v>
      </c>
      <c r="C100" s="6" t="s">
        <v>663</v>
      </c>
      <c r="D100" s="6" t="s">
        <v>664</v>
      </c>
      <c r="E100" s="6">
        <v>0.45</v>
      </c>
    </row>
    <row r="101" spans="2:5" ht="15" customHeight="1" thickBot="1" x14ac:dyDescent="0.3"/>
    <row r="102" spans="2:5" ht="15" customHeight="1" thickBot="1" x14ac:dyDescent="0.3">
      <c r="B102" s="4" t="s">
        <v>665</v>
      </c>
      <c r="C102" s="5"/>
      <c r="D102" s="5"/>
      <c r="E102" s="5"/>
    </row>
    <row r="103" spans="2:5" ht="15" customHeight="1" thickBot="1" x14ac:dyDescent="0.3">
      <c r="B103" s="4" t="s">
        <v>280</v>
      </c>
      <c r="C103" s="6" t="s">
        <v>367</v>
      </c>
      <c r="D103" s="6" t="s">
        <v>368</v>
      </c>
      <c r="E103" s="6" t="s">
        <v>369</v>
      </c>
    </row>
    <row r="104" spans="2:5" ht="15" customHeight="1" thickBot="1" x14ac:dyDescent="0.3">
      <c r="B104" s="16">
        <v>44773</v>
      </c>
      <c r="C104" s="6" t="s">
        <v>710</v>
      </c>
      <c r="D104" s="6" t="s">
        <v>711</v>
      </c>
      <c r="E104" s="13">
        <v>0.1784</v>
      </c>
    </row>
    <row r="105" spans="2:5" ht="15" customHeight="1" thickBot="1" x14ac:dyDescent="0.3">
      <c r="B105" s="16">
        <v>44681</v>
      </c>
      <c r="C105" s="6" t="s">
        <v>666</v>
      </c>
      <c r="D105" s="6" t="s">
        <v>667</v>
      </c>
      <c r="E105" s="13">
        <v>0.2243</v>
      </c>
    </row>
    <row r="106" spans="2:5" ht="15" customHeight="1" thickBot="1" x14ac:dyDescent="0.3">
      <c r="B106" s="16">
        <v>44592</v>
      </c>
      <c r="C106" s="6" t="s">
        <v>668</v>
      </c>
      <c r="D106" s="6" t="s">
        <v>669</v>
      </c>
      <c r="E106" s="13">
        <v>0.25290000000000001</v>
      </c>
    </row>
    <row r="107" spans="2:5" ht="15" customHeight="1" thickBot="1" x14ac:dyDescent="0.3">
      <c r="B107" s="16">
        <v>44500</v>
      </c>
      <c r="C107" s="6" t="s">
        <v>670</v>
      </c>
      <c r="D107" s="6" t="s">
        <v>671</v>
      </c>
      <c r="E107" s="13">
        <v>0.2364</v>
      </c>
    </row>
    <row r="108" spans="2:5" ht="15" customHeight="1" thickBot="1" x14ac:dyDescent="0.3">
      <c r="B108" s="16">
        <v>44408</v>
      </c>
      <c r="C108" s="6" t="s">
        <v>672</v>
      </c>
      <c r="D108" s="6" t="s">
        <v>673</v>
      </c>
      <c r="E108" s="13">
        <v>0.2263</v>
      </c>
    </row>
    <row r="109" spans="2:5" ht="15" customHeight="1" thickBot="1" x14ac:dyDescent="0.3">
      <c r="B109" s="16">
        <v>44316</v>
      </c>
      <c r="C109" s="6" t="s">
        <v>674</v>
      </c>
      <c r="D109" s="6" t="s">
        <v>675</v>
      </c>
      <c r="E109" s="13">
        <v>0.1908</v>
      </c>
    </row>
    <row r="110" spans="2:5" ht="15" customHeight="1" thickBot="1" x14ac:dyDescent="0.3">
      <c r="B110" s="16">
        <v>44227</v>
      </c>
      <c r="C110" s="6" t="s">
        <v>676</v>
      </c>
      <c r="D110" s="6" t="s">
        <v>328</v>
      </c>
      <c r="E110" s="13">
        <v>0.16639999999999999</v>
      </c>
    </row>
    <row r="111" spans="2:5" ht="15" customHeight="1" thickBot="1" x14ac:dyDescent="0.3">
      <c r="B111" s="16">
        <v>44135</v>
      </c>
      <c r="C111" s="6" t="s">
        <v>677</v>
      </c>
      <c r="D111" s="6" t="s">
        <v>678</v>
      </c>
      <c r="E111" s="13">
        <v>0.16520000000000001</v>
      </c>
    </row>
    <row r="112" spans="2:5" ht="15" customHeight="1" thickBot="1" x14ac:dyDescent="0.3">
      <c r="B112" s="16">
        <v>44043</v>
      </c>
      <c r="C112" s="6" t="s">
        <v>679</v>
      </c>
      <c r="D112" s="6" t="s">
        <v>680</v>
      </c>
      <c r="E112" s="13">
        <v>0.16619999999999999</v>
      </c>
    </row>
    <row r="113" spans="2:5" ht="15" customHeight="1" thickBot="1" x14ac:dyDescent="0.3">
      <c r="B113" s="16">
        <v>43951</v>
      </c>
      <c r="C113" s="6" t="s">
        <v>523</v>
      </c>
      <c r="D113" s="6" t="s">
        <v>681</v>
      </c>
      <c r="E113" s="13">
        <v>0.18659999999999999</v>
      </c>
    </row>
    <row r="114" spans="2:5" ht="15" customHeight="1" thickBot="1" x14ac:dyDescent="0.3">
      <c r="B114" s="16">
        <v>43861</v>
      </c>
      <c r="C114" s="6" t="s">
        <v>682</v>
      </c>
      <c r="D114" s="6" t="s">
        <v>683</v>
      </c>
      <c r="E114" s="13">
        <v>0.18060000000000001</v>
      </c>
    </row>
    <row r="115" spans="2:5" ht="15" customHeight="1" thickBot="1" x14ac:dyDescent="0.3">
      <c r="B115" s="16">
        <v>43769</v>
      </c>
      <c r="C115" s="6" t="s">
        <v>613</v>
      </c>
      <c r="D115" s="6" t="s">
        <v>684</v>
      </c>
      <c r="E115" s="13">
        <v>0.1666</v>
      </c>
    </row>
    <row r="116" spans="2:5" ht="15" customHeight="1" thickBot="1" x14ac:dyDescent="0.3">
      <c r="B116" s="16">
        <v>43677</v>
      </c>
      <c r="C116" s="6" t="s">
        <v>685</v>
      </c>
      <c r="D116" s="6" t="s">
        <v>686</v>
      </c>
      <c r="E116" s="13">
        <v>0.1968</v>
      </c>
    </row>
    <row r="117" spans="2:5" ht="15" customHeight="1" thickBot="1" x14ac:dyDescent="0.3">
      <c r="B117" s="16">
        <v>43585</v>
      </c>
      <c r="C117" s="6" t="s">
        <v>687</v>
      </c>
      <c r="D117" s="6" t="s">
        <v>688</v>
      </c>
      <c r="E117" s="13">
        <v>0.24440000000000001</v>
      </c>
    </row>
    <row r="118" spans="2:5" ht="15" customHeight="1" thickBot="1" x14ac:dyDescent="0.3"/>
    <row r="119" spans="2:5" ht="15" customHeight="1" thickBot="1" x14ac:dyDescent="0.3">
      <c r="B119" s="4" t="s">
        <v>689</v>
      </c>
      <c r="C119" s="5"/>
      <c r="D119" s="5"/>
      <c r="E119" s="5"/>
    </row>
    <row r="120" spans="2:5" ht="15" customHeight="1" thickBot="1" x14ac:dyDescent="0.3">
      <c r="B120" s="4" t="s">
        <v>280</v>
      </c>
      <c r="C120" s="6" t="s">
        <v>367</v>
      </c>
      <c r="D120" s="6" t="s">
        <v>331</v>
      </c>
      <c r="E120" s="6" t="s">
        <v>398</v>
      </c>
    </row>
    <row r="121" spans="2:5" ht="15" customHeight="1" thickBot="1" x14ac:dyDescent="0.3">
      <c r="B121" s="16">
        <v>44773</v>
      </c>
      <c r="C121" s="6" t="s">
        <v>710</v>
      </c>
      <c r="D121" s="6" t="s">
        <v>709</v>
      </c>
      <c r="E121" s="13">
        <v>0.30780000000000002</v>
      </c>
    </row>
    <row r="122" spans="2:5" ht="15" customHeight="1" thickBot="1" x14ac:dyDescent="0.3">
      <c r="B122" s="16">
        <v>44681</v>
      </c>
      <c r="C122" s="6" t="s">
        <v>666</v>
      </c>
      <c r="D122" s="6" t="s">
        <v>640</v>
      </c>
      <c r="E122" s="13">
        <v>0.38650000000000001</v>
      </c>
    </row>
    <row r="123" spans="2:5" ht="15" customHeight="1" thickBot="1" x14ac:dyDescent="0.3">
      <c r="B123" s="16">
        <v>44592</v>
      </c>
      <c r="C123" s="6" t="s">
        <v>668</v>
      </c>
      <c r="D123" s="6" t="s">
        <v>642</v>
      </c>
      <c r="E123" s="13">
        <v>0.43180000000000002</v>
      </c>
    </row>
    <row r="124" spans="2:5" ht="15" customHeight="1" thickBot="1" x14ac:dyDescent="0.3">
      <c r="B124" s="16">
        <v>44500</v>
      </c>
      <c r="C124" s="6" t="s">
        <v>670</v>
      </c>
      <c r="D124" s="6" t="s">
        <v>644</v>
      </c>
      <c r="E124" s="13">
        <v>0.40720000000000001</v>
      </c>
    </row>
    <row r="125" spans="2:5" ht="15" customHeight="1" thickBot="1" x14ac:dyDescent="0.3">
      <c r="B125" s="16">
        <v>44408</v>
      </c>
      <c r="C125" s="6" t="s">
        <v>672</v>
      </c>
      <c r="D125" s="6" t="s">
        <v>646</v>
      </c>
      <c r="E125" s="13">
        <v>0.39250000000000002</v>
      </c>
    </row>
    <row r="126" spans="2:5" ht="15" customHeight="1" thickBot="1" x14ac:dyDescent="0.3">
      <c r="B126" s="16">
        <v>44316</v>
      </c>
      <c r="C126" s="6" t="s">
        <v>674</v>
      </c>
      <c r="D126" s="6" t="s">
        <v>648</v>
      </c>
      <c r="E126" s="13">
        <v>0.32819999999999999</v>
      </c>
    </row>
    <row r="127" spans="2:5" ht="15" customHeight="1" thickBot="1" x14ac:dyDescent="0.3">
      <c r="B127" s="16">
        <v>44227</v>
      </c>
      <c r="C127" s="6" t="s">
        <v>676</v>
      </c>
      <c r="D127" s="6" t="s">
        <v>650</v>
      </c>
      <c r="E127" s="13">
        <v>0.29249999999999998</v>
      </c>
    </row>
    <row r="128" spans="2:5" ht="15" customHeight="1" thickBot="1" x14ac:dyDescent="0.3">
      <c r="B128" s="16">
        <v>44135</v>
      </c>
      <c r="C128" s="6" t="s">
        <v>677</v>
      </c>
      <c r="D128" s="6" t="s">
        <v>652</v>
      </c>
      <c r="E128" s="13">
        <v>0.28050000000000003</v>
      </c>
    </row>
    <row r="129" spans="2:12" ht="15" customHeight="1" thickBot="1" x14ac:dyDescent="0.3">
      <c r="B129" s="16">
        <v>44043</v>
      </c>
      <c r="C129" s="6" t="s">
        <v>679</v>
      </c>
      <c r="D129" s="6" t="s">
        <v>654</v>
      </c>
      <c r="E129" s="13">
        <v>0.26879999999999998</v>
      </c>
    </row>
    <row r="130" spans="2:12" ht="15" customHeight="1" thickBot="1" x14ac:dyDescent="0.3">
      <c r="B130" s="16">
        <v>43951</v>
      </c>
      <c r="C130" s="6" t="s">
        <v>523</v>
      </c>
      <c r="D130" s="6" t="s">
        <v>656</v>
      </c>
      <c r="E130" s="13">
        <v>0.28339999999999999</v>
      </c>
    </row>
    <row r="131" spans="2:12" ht="15" customHeight="1" thickBot="1" x14ac:dyDescent="0.3">
      <c r="B131" s="16">
        <v>43861</v>
      </c>
      <c r="C131" s="6" t="s">
        <v>682</v>
      </c>
      <c r="D131" s="6" t="s">
        <v>658</v>
      </c>
      <c r="E131" s="13">
        <v>0.25740000000000002</v>
      </c>
    </row>
    <row r="132" spans="2:12" ht="15" customHeight="1" thickBot="1" x14ac:dyDescent="0.3">
      <c r="B132" s="16">
        <v>43769</v>
      </c>
      <c r="C132" s="6" t="s">
        <v>613</v>
      </c>
      <c r="D132" s="6" t="s">
        <v>660</v>
      </c>
      <c r="E132" s="13">
        <v>0.23760000000000001</v>
      </c>
    </row>
    <row r="133" spans="2:12" ht="15" customHeight="1" thickBot="1" x14ac:dyDescent="0.3">
      <c r="B133" s="16">
        <v>43677</v>
      </c>
      <c r="C133" s="6" t="s">
        <v>685</v>
      </c>
      <c r="D133" s="6" t="s">
        <v>662</v>
      </c>
      <c r="E133" s="13">
        <v>0.2823</v>
      </c>
    </row>
    <row r="134" spans="2:12" ht="15" customHeight="1" thickBot="1" x14ac:dyDescent="0.3">
      <c r="B134" s="16">
        <v>43585</v>
      </c>
      <c r="C134" s="6" t="s">
        <v>687</v>
      </c>
      <c r="D134" s="6" t="s">
        <v>664</v>
      </c>
      <c r="E134" s="13">
        <v>0.3528</v>
      </c>
    </row>
    <row r="135" spans="2:12" ht="15" customHeight="1" thickBot="1" x14ac:dyDescent="0.3"/>
    <row r="136" spans="2:12" ht="249.95" customHeight="1" thickBot="1" x14ac:dyDescent="0.3">
      <c r="B136" s="17" t="s">
        <v>757</v>
      </c>
      <c r="C136" s="17"/>
      <c r="D136" s="17"/>
      <c r="E136" s="17"/>
      <c r="F136" s="17"/>
      <c r="G136" s="17"/>
      <c r="H136" s="17"/>
      <c r="I136" s="17"/>
      <c r="J136" s="17"/>
      <c r="K136" s="17"/>
      <c r="L136" s="17"/>
    </row>
  </sheetData>
  <mergeCells count="5">
    <mergeCell ref="B136:L136"/>
    <mergeCell ref="E39:F39"/>
    <mergeCell ref="E44:F44"/>
    <mergeCell ref="C44:D44"/>
    <mergeCell ref="C39:D39"/>
  </mergeCells>
  <dataValidations count="2">
    <dataValidation type="list" allowBlank="1" showInputMessage="1" showErrorMessage="1" sqref="J30" xr:uid="{1FF026DB-FC51-4B56-A675-9B2B1256FA91}">
      <formula1>B4</formula1>
    </dataValidation>
    <dataValidation type="list" allowBlank="1" showInputMessage="1" showErrorMessage="1" sqref="J31" xr:uid="{168ADEF2-8CC1-4DFC-9B1C-6CB255C2DEBC}">
      <formula1>A4:A26</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906C4-C831-4DC6-800E-AA2C02085D4E}">
  <sheetPr codeName="Sheet1"/>
  <dimension ref="A2:P107"/>
  <sheetViews>
    <sheetView showGridLines="0" workbookViewId="0">
      <selection activeCell="J61" sqref="J61"/>
    </sheetView>
  </sheetViews>
  <sheetFormatPr defaultColWidth="9.140625" defaultRowHeight="15" customHeight="1" x14ac:dyDescent="0.25"/>
  <cols>
    <col min="1" max="1" width="9.7109375" customWidth="1"/>
    <col min="2" max="2" width="59.28515625" bestFit="1" customWidth="1"/>
    <col min="3" max="3" width="24.42578125" bestFit="1" customWidth="1"/>
    <col min="4" max="4" width="19.42578125" bestFit="1" customWidth="1"/>
    <col min="5" max="5" width="18.85546875" bestFit="1" customWidth="1"/>
    <col min="6" max="6" width="7.85546875" bestFit="1" customWidth="1"/>
    <col min="7" max="8" width="7.42578125" bestFit="1" customWidth="1"/>
    <col min="10" max="10" width="25.85546875" bestFit="1" customWidth="1"/>
    <col min="11" max="11" width="18" bestFit="1" customWidth="1"/>
    <col min="12" max="12" width="6.85546875" bestFit="1" customWidth="1"/>
    <col min="13" max="13" width="7.85546875" bestFit="1" customWidth="1"/>
    <col min="14" max="14" width="7.140625" bestFit="1" customWidth="1"/>
    <col min="15" max="16" width="6.140625" bestFit="1" customWidth="1"/>
  </cols>
  <sheetData>
    <row r="2" spans="1:8" ht="15" customHeight="1" x14ac:dyDescent="0.25">
      <c r="B2" s="1" t="s">
        <v>589</v>
      </c>
    </row>
    <row r="3" spans="1:8" ht="15" customHeight="1" thickBot="1" x14ac:dyDescent="0.3"/>
    <row r="4" spans="1:8" ht="15" customHeight="1" thickBot="1" x14ac:dyDescent="0.3">
      <c r="A4" s="14" t="s">
        <v>1</v>
      </c>
      <c r="B4" s="4" t="s">
        <v>399</v>
      </c>
      <c r="C4" s="5">
        <v>2019</v>
      </c>
      <c r="D4" s="5">
        <v>2020</v>
      </c>
      <c r="E4" s="5">
        <v>2021</v>
      </c>
      <c r="F4" s="5">
        <v>2022</v>
      </c>
      <c r="G4" s="5">
        <v>2023</v>
      </c>
      <c r="H4" s="5">
        <v>2024</v>
      </c>
    </row>
    <row r="5" spans="1:8" ht="15" customHeight="1" thickBot="1" x14ac:dyDescent="0.3">
      <c r="A5" s="14" t="s">
        <v>3</v>
      </c>
      <c r="B5" s="4" t="s">
        <v>2</v>
      </c>
      <c r="C5" s="6" t="s">
        <v>400</v>
      </c>
      <c r="D5" s="6" t="s">
        <v>401</v>
      </c>
      <c r="E5" s="6" t="s">
        <v>402</v>
      </c>
      <c r="F5" s="6" t="s">
        <v>403</v>
      </c>
      <c r="G5" s="6" t="s">
        <v>404</v>
      </c>
      <c r="H5" s="6" t="s">
        <v>405</v>
      </c>
    </row>
    <row r="6" spans="1:8" ht="15" customHeight="1" thickBot="1" x14ac:dyDescent="0.3">
      <c r="A6" s="14" t="s">
        <v>5</v>
      </c>
      <c r="B6" s="4" t="s">
        <v>4</v>
      </c>
      <c r="C6" s="6" t="s">
        <v>406</v>
      </c>
      <c r="D6" s="6" t="s">
        <v>407</v>
      </c>
      <c r="E6" s="6">
        <v>813</v>
      </c>
      <c r="F6" s="6" t="s">
        <v>408</v>
      </c>
      <c r="G6" s="6" t="s">
        <v>409</v>
      </c>
      <c r="H6" s="6" t="s">
        <v>410</v>
      </c>
    </row>
    <row r="7" spans="1:8" ht="15" customHeight="1" thickBot="1" x14ac:dyDescent="0.3">
      <c r="A7" s="14" t="s">
        <v>7</v>
      </c>
      <c r="B7" s="4" t="s">
        <v>6</v>
      </c>
      <c r="C7" s="6">
        <v>601</v>
      </c>
      <c r="D7" s="6">
        <v>591</v>
      </c>
      <c r="E7" s="6">
        <v>210</v>
      </c>
      <c r="F7" s="6">
        <v>709</v>
      </c>
      <c r="G7" s="6">
        <v>601</v>
      </c>
      <c r="H7" s="6">
        <v>626</v>
      </c>
    </row>
    <row r="8" spans="1:8" ht="15" customHeight="1" thickBot="1" x14ac:dyDescent="0.3">
      <c r="A8" s="14" t="s">
        <v>8</v>
      </c>
      <c r="B8" s="4" t="s">
        <v>7</v>
      </c>
      <c r="C8" s="6" t="s">
        <v>411</v>
      </c>
      <c r="D8" s="6" t="s">
        <v>412</v>
      </c>
      <c r="E8" s="6" t="s">
        <v>413</v>
      </c>
      <c r="F8" s="6" t="s">
        <v>414</v>
      </c>
      <c r="G8" s="6" t="s">
        <v>415</v>
      </c>
      <c r="H8" s="6" t="s">
        <v>416</v>
      </c>
    </row>
    <row r="9" spans="1:8" ht="15" customHeight="1" thickBot="1" x14ac:dyDescent="0.3">
      <c r="A9" s="14" t="s">
        <v>10</v>
      </c>
      <c r="B9" s="4" t="s">
        <v>9</v>
      </c>
      <c r="C9" s="6" t="s">
        <v>417</v>
      </c>
      <c r="D9" s="6" t="s">
        <v>418</v>
      </c>
      <c r="E9" s="6">
        <v>-198</v>
      </c>
      <c r="F9" s="6">
        <v>307</v>
      </c>
      <c r="G9" s="6">
        <v>292</v>
      </c>
      <c r="H9" s="6">
        <v>320</v>
      </c>
    </row>
    <row r="10" spans="1:8" ht="15" customHeight="1" thickBot="1" x14ac:dyDescent="0.3">
      <c r="A10" s="14" t="s">
        <v>11</v>
      </c>
      <c r="B10" s="4" t="s">
        <v>10</v>
      </c>
      <c r="C10" s="6" t="s">
        <v>419</v>
      </c>
      <c r="D10" s="6" t="s">
        <v>420</v>
      </c>
      <c r="E10" s="6" t="s">
        <v>421</v>
      </c>
      <c r="F10" s="6" t="s">
        <v>422</v>
      </c>
      <c r="G10" s="6" t="s">
        <v>423</v>
      </c>
      <c r="H10" s="6" t="s">
        <v>424</v>
      </c>
    </row>
    <row r="11" spans="1:8" ht="15" customHeight="1" thickBot="1" x14ac:dyDescent="0.3">
      <c r="A11" s="14" t="s">
        <v>14</v>
      </c>
      <c r="B11" s="4" t="s">
        <v>12</v>
      </c>
      <c r="C11" s="6" t="s">
        <v>425</v>
      </c>
      <c r="D11" s="6" t="s">
        <v>426</v>
      </c>
      <c r="E11" s="6" t="s">
        <v>427</v>
      </c>
      <c r="F11" s="6" t="s">
        <v>428</v>
      </c>
      <c r="G11" s="6" t="s">
        <v>428</v>
      </c>
      <c r="H11" s="6" t="s">
        <v>429</v>
      </c>
    </row>
    <row r="12" spans="1:8" ht="15" customHeight="1" thickBot="1" x14ac:dyDescent="0.3">
      <c r="A12" s="14" t="s">
        <v>18</v>
      </c>
      <c r="B12" s="7" t="s">
        <v>430</v>
      </c>
      <c r="C12" s="8"/>
      <c r="D12" s="6"/>
      <c r="E12" s="6"/>
      <c r="F12" s="6"/>
      <c r="G12" s="6"/>
      <c r="H12" s="6"/>
    </row>
    <row r="13" spans="1:8" ht="15" customHeight="1" thickBot="1" x14ac:dyDescent="0.3">
      <c r="A13" s="14" t="s">
        <v>24</v>
      </c>
    </row>
    <row r="14" spans="1:8" ht="15" customHeight="1" thickBot="1" x14ac:dyDescent="0.3">
      <c r="A14" s="14" t="s">
        <v>43</v>
      </c>
      <c r="B14" s="4" t="s">
        <v>399</v>
      </c>
      <c r="C14" s="5">
        <v>2019</v>
      </c>
      <c r="D14" s="5">
        <v>2020</v>
      </c>
      <c r="E14" s="5">
        <v>2021</v>
      </c>
      <c r="F14" s="5">
        <v>2022</v>
      </c>
      <c r="G14" s="5">
        <v>2023</v>
      </c>
      <c r="H14" s="5">
        <v>2024</v>
      </c>
    </row>
    <row r="15" spans="1:8" ht="15" customHeight="1" thickBot="1" x14ac:dyDescent="0.3">
      <c r="A15" s="14" t="s">
        <v>28</v>
      </c>
      <c r="B15" s="4" t="s">
        <v>14</v>
      </c>
      <c r="C15" s="6" t="s">
        <v>431</v>
      </c>
      <c r="D15" s="6" t="s">
        <v>432</v>
      </c>
      <c r="E15" s="6" t="s">
        <v>433</v>
      </c>
      <c r="F15" s="6" t="s">
        <v>434</v>
      </c>
      <c r="G15" s="6" t="s">
        <v>435</v>
      </c>
      <c r="H15" s="6" t="s">
        <v>436</v>
      </c>
    </row>
    <row r="16" spans="1:8" ht="15" customHeight="1" thickBot="1" x14ac:dyDescent="0.3">
      <c r="A16" s="14" t="s">
        <v>33</v>
      </c>
      <c r="B16" s="4" t="s">
        <v>23</v>
      </c>
      <c r="C16" s="6" t="s">
        <v>437</v>
      </c>
      <c r="D16" s="6" t="s">
        <v>438</v>
      </c>
      <c r="E16" s="6" t="s">
        <v>439</v>
      </c>
      <c r="F16" s="6" t="s">
        <v>440</v>
      </c>
      <c r="G16" s="6" t="s">
        <v>22</v>
      </c>
      <c r="H16" s="6" t="s">
        <v>22</v>
      </c>
    </row>
    <row r="17" spans="1:16" ht="15" customHeight="1" thickBot="1" x14ac:dyDescent="0.3">
      <c r="A17" s="14" t="s">
        <v>38</v>
      </c>
      <c r="B17" s="4" t="s">
        <v>24</v>
      </c>
      <c r="C17" s="6" t="s">
        <v>441</v>
      </c>
      <c r="D17" s="6" t="s">
        <v>442</v>
      </c>
      <c r="E17" s="6" t="s">
        <v>443</v>
      </c>
      <c r="F17" s="6" t="s">
        <v>444</v>
      </c>
      <c r="G17" s="6" t="s">
        <v>445</v>
      </c>
      <c r="H17" s="6" t="s">
        <v>446</v>
      </c>
    </row>
    <row r="18" spans="1:16" ht="15" customHeight="1" thickBot="1" x14ac:dyDescent="0.3">
      <c r="A18" s="14" t="s">
        <v>44</v>
      </c>
      <c r="B18" s="4" t="s">
        <v>43</v>
      </c>
      <c r="C18" s="9">
        <v>10296</v>
      </c>
      <c r="D18" s="9">
        <v>10172</v>
      </c>
      <c r="E18" s="9">
        <v>9027</v>
      </c>
      <c r="F18" s="9">
        <v>11046</v>
      </c>
      <c r="G18" s="6" t="s">
        <v>22</v>
      </c>
      <c r="H18" s="6" t="s">
        <v>22</v>
      </c>
    </row>
    <row r="19" spans="1:16" ht="15" customHeight="1" thickBot="1" x14ac:dyDescent="0.3">
      <c r="A19" s="14" t="s">
        <v>46</v>
      </c>
      <c r="B19" s="4" t="s">
        <v>32</v>
      </c>
      <c r="C19" s="6" t="s">
        <v>447</v>
      </c>
      <c r="D19" s="6" t="s">
        <v>448</v>
      </c>
      <c r="E19" s="6" t="s">
        <v>449</v>
      </c>
      <c r="F19" s="6" t="s">
        <v>450</v>
      </c>
      <c r="G19" s="6" t="s">
        <v>451</v>
      </c>
      <c r="H19" s="6" t="s">
        <v>452</v>
      </c>
    </row>
    <row r="20" spans="1:16" ht="15" customHeight="1" thickBot="1" x14ac:dyDescent="0.3">
      <c r="A20" s="14" t="s">
        <v>51</v>
      </c>
      <c r="B20" s="4" t="s">
        <v>33</v>
      </c>
      <c r="C20" s="6" t="s">
        <v>453</v>
      </c>
      <c r="D20" s="6" t="s">
        <v>454</v>
      </c>
      <c r="E20" s="6" t="s">
        <v>455</v>
      </c>
      <c r="F20" s="6" t="s">
        <v>456</v>
      </c>
      <c r="G20" s="6" t="s">
        <v>457</v>
      </c>
      <c r="H20" s="6" t="s">
        <v>199</v>
      </c>
    </row>
    <row r="21" spans="1:16" ht="15" customHeight="1" thickBot="1" x14ac:dyDescent="0.3">
      <c r="A21" s="14" t="s">
        <v>1</v>
      </c>
      <c r="B21" s="4" t="s">
        <v>38</v>
      </c>
      <c r="C21" s="6" t="s">
        <v>458</v>
      </c>
      <c r="D21" s="6" t="s">
        <v>459</v>
      </c>
      <c r="E21" s="6" t="s">
        <v>460</v>
      </c>
      <c r="F21" s="6" t="s">
        <v>461</v>
      </c>
      <c r="G21" s="6" t="s">
        <v>462</v>
      </c>
      <c r="H21" s="6" t="s">
        <v>463</v>
      </c>
    </row>
    <row r="22" spans="1:16" ht="15" customHeight="1" thickBot="1" x14ac:dyDescent="0.3">
      <c r="A22" s="14" t="s">
        <v>487</v>
      </c>
      <c r="B22" s="7" t="s">
        <v>464</v>
      </c>
      <c r="C22" s="8"/>
      <c r="D22" s="6"/>
      <c r="E22" s="6"/>
      <c r="F22" s="6"/>
      <c r="G22" s="6"/>
      <c r="H22" s="6"/>
    </row>
    <row r="23" spans="1:16" ht="15" customHeight="1" thickBot="1" x14ac:dyDescent="0.3">
      <c r="A23" s="14" t="s">
        <v>488</v>
      </c>
    </row>
    <row r="24" spans="1:16" ht="15" customHeight="1" thickBot="1" x14ac:dyDescent="0.3">
      <c r="A24" s="14" t="s">
        <v>7</v>
      </c>
      <c r="B24" s="4" t="s">
        <v>399</v>
      </c>
      <c r="C24" s="5">
        <v>2019</v>
      </c>
      <c r="D24" s="5">
        <v>2020</v>
      </c>
      <c r="E24" s="5">
        <v>2021</v>
      </c>
      <c r="F24" s="5">
        <v>2022</v>
      </c>
      <c r="G24" s="5">
        <v>2023</v>
      </c>
      <c r="H24" s="5">
        <v>2024</v>
      </c>
    </row>
    <row r="25" spans="1:16" ht="15" customHeight="1" thickBot="1" x14ac:dyDescent="0.3">
      <c r="A25" s="14" t="s">
        <v>493</v>
      </c>
      <c r="B25" s="4" t="s">
        <v>45</v>
      </c>
      <c r="C25" s="6" t="s">
        <v>465</v>
      </c>
      <c r="D25" s="6" t="s">
        <v>466</v>
      </c>
      <c r="E25" s="6" t="s">
        <v>467</v>
      </c>
      <c r="F25" s="6" t="s">
        <v>468</v>
      </c>
      <c r="G25" s="6" t="s">
        <v>469</v>
      </c>
      <c r="H25" s="6" t="s">
        <v>470</v>
      </c>
    </row>
    <row r="26" spans="1:16" ht="15" customHeight="1" thickBot="1" x14ac:dyDescent="0.3">
      <c r="A26" s="14" t="s">
        <v>10</v>
      </c>
      <c r="B26" s="4" t="s">
        <v>50</v>
      </c>
      <c r="C26" s="6" t="s">
        <v>22</v>
      </c>
      <c r="D26" s="6" t="s">
        <v>22</v>
      </c>
      <c r="E26" s="6" t="s">
        <v>22</v>
      </c>
      <c r="F26" s="6" t="s">
        <v>22</v>
      </c>
      <c r="G26" s="6" t="s">
        <v>22</v>
      </c>
      <c r="H26" s="6" t="s">
        <v>22</v>
      </c>
    </row>
    <row r="27" spans="1:16" ht="15" customHeight="1" thickBot="1" x14ac:dyDescent="0.3">
      <c r="B27" s="4" t="s">
        <v>51</v>
      </c>
      <c r="C27" s="6" t="s">
        <v>471</v>
      </c>
      <c r="D27" s="6" t="s">
        <v>472</v>
      </c>
      <c r="E27" s="6" t="s">
        <v>473</v>
      </c>
      <c r="F27" s="6" t="s">
        <v>474</v>
      </c>
      <c r="G27" s="6" t="s">
        <v>475</v>
      </c>
      <c r="H27" s="6" t="s">
        <v>476</v>
      </c>
    </row>
    <row r="28" spans="1:16" ht="15" customHeight="1" thickBot="1" x14ac:dyDescent="0.3">
      <c r="B28" s="7" t="s">
        <v>430</v>
      </c>
      <c r="C28" s="8"/>
      <c r="D28" s="6"/>
      <c r="E28" s="6"/>
      <c r="F28" s="6"/>
      <c r="G28" s="6"/>
      <c r="H28" s="6"/>
    </row>
    <row r="29" spans="1:16" ht="15" customHeight="1" thickBot="1" x14ac:dyDescent="0.3"/>
    <row r="30" spans="1:16" ht="15" customHeight="1" thickBot="1" x14ac:dyDescent="0.3">
      <c r="B30" s="4" t="s">
        <v>399</v>
      </c>
      <c r="C30" s="5" t="s">
        <v>477</v>
      </c>
      <c r="D30" s="5" t="s">
        <v>478</v>
      </c>
      <c r="E30" s="5" t="s">
        <v>56</v>
      </c>
      <c r="F30" s="5" t="s">
        <v>57</v>
      </c>
      <c r="G30" s="5" t="s">
        <v>479</v>
      </c>
      <c r="H30" s="5" t="s">
        <v>480</v>
      </c>
      <c r="J30" s="1" t="s">
        <v>399</v>
      </c>
      <c r="K30">
        <f>VLOOKUP(J30,B4:H36,2,FALSE)</f>
        <v>2019</v>
      </c>
      <c r="L30">
        <f>VLOOKUP(J30,B4:H36,3,FALSE)</f>
        <v>2020</v>
      </c>
      <c r="M30">
        <f>VLOOKUP(J30,B4:H36,4,FALSE)</f>
        <v>2021</v>
      </c>
      <c r="N30">
        <f>VLOOKUP(J30,B4:H36,5,FALSE)</f>
        <v>2022</v>
      </c>
      <c r="O30">
        <f>VLOOKUP(J30,B4:H36,6,FALSE)</f>
        <v>2023</v>
      </c>
      <c r="P30">
        <f>VLOOKUP(J30,B4:H36,7,FALSE)</f>
        <v>2024</v>
      </c>
    </row>
    <row r="31" spans="1:16" ht="15" customHeight="1" thickBot="1" x14ac:dyDescent="0.3">
      <c r="B31" s="4" t="s">
        <v>2</v>
      </c>
      <c r="C31" s="6" t="s">
        <v>481</v>
      </c>
      <c r="D31" s="6" t="s">
        <v>482</v>
      </c>
      <c r="E31" s="6" t="s">
        <v>483</v>
      </c>
      <c r="F31" s="6" t="s">
        <v>484</v>
      </c>
      <c r="G31" s="6" t="s">
        <v>485</v>
      </c>
      <c r="H31" s="6" t="s">
        <v>486</v>
      </c>
      <c r="J31" s="1" t="s">
        <v>1</v>
      </c>
      <c r="K31">
        <f>VALUE(SUBSTITUTE(SUBSTITUTE(SUBSTITUTE(SUBSTITUTE(VLOOKUP(J31,B4:H36,2,FALSE)," ",""),"x",""),"%",""),",","."))</f>
        <v>10377</v>
      </c>
      <c r="L31">
        <f>VALUE(SUBSTITUTE(SUBSTITUTE(SUBSTITUTE(SUBSTITUTE(VLOOKUP(J31,B4:H36,3,FALSE)," ",""),"x",""),"%",""),",","."))</f>
        <v>10182</v>
      </c>
      <c r="M31">
        <f>VALUE(SUBSTITUTE(SUBSTITUTE(SUBSTITUTE(SUBSTITUTE(VLOOKUP(J31,B4:H36,4,FALSE)," ",""),"x",""),"%",""),",","."))</f>
        <v>8973</v>
      </c>
      <c r="N31">
        <f>VALUE(SUBSTITUTE(SUBSTITUTE(SUBSTITUTE(SUBSTITUTE(VLOOKUP(J31,B4:H36,5,FALSE)," ",""),"x",""),"%",""),",","."))</f>
        <v>10885</v>
      </c>
      <c r="O31">
        <f>VALUE(SUBSTITUTE(SUBSTITUTE(SUBSTITUTE(SUBSTITUTE(VLOOKUP(J31,B4:H36,6,FALSE)," ",""),"x",""),"%",""),",","."))</f>
        <v>10991</v>
      </c>
      <c r="P31">
        <f>VALUE(SUBSTITUTE(SUBSTITUTE(SUBSTITUTE(SUBSTITUTE(VLOOKUP(J31,B4:H36,7,FALSE)," ",""),"x",""),"%",""),",","."))</f>
        <v>11192</v>
      </c>
    </row>
    <row r="32" spans="1:16" ht="15" customHeight="1" thickBot="1" x14ac:dyDescent="0.3">
      <c r="B32" s="4" t="s">
        <v>487</v>
      </c>
      <c r="C32" s="6">
        <v>595</v>
      </c>
      <c r="D32" s="6" t="s">
        <v>22</v>
      </c>
      <c r="E32" s="6" t="s">
        <v>22</v>
      </c>
      <c r="F32" s="6" t="s">
        <v>22</v>
      </c>
      <c r="G32" s="6" t="s">
        <v>22</v>
      </c>
      <c r="H32" s="6">
        <v>531</v>
      </c>
      <c r="J32" t="s">
        <v>88</v>
      </c>
      <c r="L32" s="11">
        <f>(L31-K31)/K31</f>
        <v>-1.8791558253830588E-2</v>
      </c>
      <c r="M32" s="11">
        <f>(M31-L31)/L31</f>
        <v>-0.1187389510901591</v>
      </c>
      <c r="N32" s="11">
        <f>(N31-M31)/M31</f>
        <v>0.21308369553103756</v>
      </c>
      <c r="O32" s="11">
        <f>(O31-N31)/N31</f>
        <v>9.7381717960496102E-3</v>
      </c>
      <c r="P32" s="11">
        <f>(P31-O31)/O31</f>
        <v>1.8287689928123008E-2</v>
      </c>
    </row>
    <row r="33" spans="2:11" ht="15" customHeight="1" thickBot="1" x14ac:dyDescent="0.3">
      <c r="B33" s="4" t="s">
        <v>488</v>
      </c>
      <c r="C33" s="6">
        <v>148</v>
      </c>
      <c r="D33" s="6">
        <v>363</v>
      </c>
      <c r="E33" s="6" t="s">
        <v>22</v>
      </c>
      <c r="F33" s="6" t="s">
        <v>22</v>
      </c>
      <c r="G33" s="6">
        <v>346</v>
      </c>
      <c r="H33" s="6">
        <v>273</v>
      </c>
    </row>
    <row r="34" spans="2:11" ht="15" customHeight="1" thickBot="1" x14ac:dyDescent="0.3">
      <c r="B34" s="4" t="s">
        <v>7</v>
      </c>
      <c r="C34" s="6" t="s">
        <v>489</v>
      </c>
      <c r="D34" s="6" t="s">
        <v>490</v>
      </c>
      <c r="E34" s="6" t="s">
        <v>22</v>
      </c>
      <c r="F34" s="6" t="s">
        <v>22</v>
      </c>
      <c r="G34" s="6" t="s">
        <v>491</v>
      </c>
      <c r="H34" s="6" t="s">
        <v>492</v>
      </c>
      <c r="J34" s="2" t="s">
        <v>70</v>
      </c>
      <c r="K34" s="6" t="s">
        <v>506</v>
      </c>
    </row>
    <row r="35" spans="2:11" ht="15" customHeight="1" thickBot="1" x14ac:dyDescent="0.3">
      <c r="B35" s="4" t="s">
        <v>493</v>
      </c>
      <c r="C35" s="6" t="s">
        <v>22</v>
      </c>
      <c r="D35" s="6">
        <v>160</v>
      </c>
      <c r="E35" s="6" t="s">
        <v>22</v>
      </c>
      <c r="F35" s="6" t="s">
        <v>22</v>
      </c>
      <c r="G35" s="6" t="s">
        <v>22</v>
      </c>
      <c r="H35" s="6" t="s">
        <v>22</v>
      </c>
      <c r="J35" s="2" t="s">
        <v>72</v>
      </c>
      <c r="K35" s="6" t="s">
        <v>507</v>
      </c>
    </row>
    <row r="36" spans="2:11" ht="15" customHeight="1" thickBot="1" x14ac:dyDescent="0.3">
      <c r="B36" s="4" t="s">
        <v>10</v>
      </c>
      <c r="C36" s="6" t="s">
        <v>22</v>
      </c>
      <c r="D36" s="6" t="s">
        <v>494</v>
      </c>
      <c r="E36" s="6" t="s">
        <v>22</v>
      </c>
      <c r="F36" s="6" t="s">
        <v>22</v>
      </c>
      <c r="G36" s="6" t="s">
        <v>22</v>
      </c>
      <c r="H36" s="6" t="s">
        <v>22</v>
      </c>
      <c r="J36" s="2" t="s">
        <v>74</v>
      </c>
      <c r="K36" s="6" t="s">
        <v>508</v>
      </c>
    </row>
    <row r="37" spans="2:11" ht="15" customHeight="1" thickBot="1" x14ac:dyDescent="0.3">
      <c r="B37" s="7" t="s">
        <v>464</v>
      </c>
      <c r="C37" s="8"/>
      <c r="D37" s="6"/>
      <c r="E37" s="6"/>
      <c r="F37" s="6"/>
      <c r="G37" s="6"/>
      <c r="H37" s="6"/>
    </row>
    <row r="38" spans="2:11" ht="15" customHeight="1" thickBot="1" x14ac:dyDescent="0.3">
      <c r="J38" s="4" t="s">
        <v>75</v>
      </c>
      <c r="K38" s="6">
        <v>135.5</v>
      </c>
    </row>
    <row r="39" spans="2:11" ht="15" customHeight="1" thickBot="1" x14ac:dyDescent="0.3">
      <c r="B39" s="2" t="s">
        <v>68</v>
      </c>
      <c r="C39" s="18">
        <v>2021</v>
      </c>
      <c r="D39" s="18"/>
      <c r="E39" s="18">
        <v>2022</v>
      </c>
      <c r="F39" s="18"/>
      <c r="G39" s="2" t="s">
        <v>89</v>
      </c>
      <c r="J39" s="4" t="s">
        <v>76</v>
      </c>
      <c r="K39" s="9">
        <v>8120424</v>
      </c>
    </row>
    <row r="40" spans="2:11" ht="15" customHeight="1" thickBot="1" x14ac:dyDescent="0.3">
      <c r="B40" s="2" t="s">
        <v>495</v>
      </c>
      <c r="C40" s="3" t="s">
        <v>496</v>
      </c>
      <c r="D40" s="15">
        <v>0.67</v>
      </c>
      <c r="E40" s="3" t="s">
        <v>497</v>
      </c>
      <c r="F40" s="15">
        <v>0.61</v>
      </c>
      <c r="G40" s="12">
        <v>8.1600000000000006E-2</v>
      </c>
      <c r="J40" s="4" t="s">
        <v>77</v>
      </c>
      <c r="K40" s="6" t="s">
        <v>509</v>
      </c>
    </row>
    <row r="41" spans="2:11" ht="15" customHeight="1" thickBot="1" x14ac:dyDescent="0.3">
      <c r="B41" s="2" t="s">
        <v>498</v>
      </c>
      <c r="C41" s="3" t="s">
        <v>499</v>
      </c>
      <c r="D41" s="12">
        <v>0.24399999999999999</v>
      </c>
      <c r="E41" s="3" t="s">
        <v>500</v>
      </c>
      <c r="F41" s="12">
        <v>0.30399999999999999</v>
      </c>
      <c r="G41" s="12">
        <v>0.47760000000000002</v>
      </c>
      <c r="J41" s="4" t="s">
        <v>78</v>
      </c>
      <c r="K41" s="6">
        <v>1.6</v>
      </c>
    </row>
    <row r="42" spans="2:11" ht="15" customHeight="1" thickBot="1" x14ac:dyDescent="0.3">
      <c r="B42" s="2" t="s">
        <v>501</v>
      </c>
      <c r="C42" s="3">
        <v>789.4</v>
      </c>
      <c r="D42" s="12">
        <v>8.5999999999999993E-2</v>
      </c>
      <c r="E42" s="3">
        <v>937.2</v>
      </c>
      <c r="F42" s="12">
        <v>8.5999999999999993E-2</v>
      </c>
      <c r="G42" s="12">
        <v>0.18720000000000001</v>
      </c>
      <c r="J42" s="4" t="s">
        <v>79</v>
      </c>
      <c r="K42" s="10">
        <v>44706</v>
      </c>
    </row>
    <row r="43" spans="2:11" ht="15" customHeight="1" thickBot="1" x14ac:dyDescent="0.3">
      <c r="B43" s="2" t="s">
        <v>502</v>
      </c>
      <c r="C43" s="3"/>
      <c r="D43" s="3"/>
      <c r="E43" s="3"/>
      <c r="F43" s="3"/>
      <c r="G43" s="3"/>
      <c r="J43" s="4" t="s">
        <v>80</v>
      </c>
      <c r="K43" s="6" t="s">
        <v>510</v>
      </c>
    </row>
    <row r="44" spans="2:11" ht="15" customHeight="1" thickBot="1" x14ac:dyDescent="0.3">
      <c r="J44" s="4" t="s">
        <v>81</v>
      </c>
      <c r="K44" s="6">
        <v>192.94</v>
      </c>
    </row>
    <row r="45" spans="2:11" ht="15" customHeight="1" thickBot="1" x14ac:dyDescent="0.3">
      <c r="B45" s="2" t="s">
        <v>69</v>
      </c>
      <c r="C45" s="18">
        <v>2021</v>
      </c>
      <c r="D45" s="18"/>
      <c r="E45" s="18">
        <v>2022</v>
      </c>
      <c r="F45" s="18"/>
      <c r="G45" s="2" t="s">
        <v>89</v>
      </c>
      <c r="J45" s="4" t="s">
        <v>82</v>
      </c>
      <c r="K45" s="6" t="s">
        <v>511</v>
      </c>
    </row>
    <row r="46" spans="2:11" ht="15" customHeight="1" thickBot="1" x14ac:dyDescent="0.3">
      <c r="B46" s="2" t="s">
        <v>503</v>
      </c>
      <c r="C46" s="3" t="s">
        <v>504</v>
      </c>
      <c r="D46" s="12">
        <v>0.91400000000000003</v>
      </c>
      <c r="E46" s="3" t="s">
        <v>505</v>
      </c>
      <c r="F46" s="12">
        <v>0.91400000000000003</v>
      </c>
      <c r="G46" s="12">
        <v>0.1903</v>
      </c>
      <c r="J46" s="4" t="s">
        <v>83</v>
      </c>
      <c r="K46" s="6">
        <v>9.57</v>
      </c>
    </row>
    <row r="47" spans="2:11" ht="15" customHeight="1" thickBot="1" x14ac:dyDescent="0.3">
      <c r="B47" s="2" t="s">
        <v>501</v>
      </c>
      <c r="C47" s="3">
        <v>789.4</v>
      </c>
      <c r="D47" s="12">
        <v>8.5999999999999993E-2</v>
      </c>
      <c r="E47" s="3">
        <v>937.2</v>
      </c>
      <c r="F47" s="12">
        <v>8.5999999999999993E-2</v>
      </c>
      <c r="G47" s="12">
        <v>0.18720000000000001</v>
      </c>
      <c r="J47" s="4" t="s">
        <v>84</v>
      </c>
      <c r="K47" s="6">
        <v>8.1199999999999992</v>
      </c>
    </row>
    <row r="48" spans="2:11" ht="15" customHeight="1" thickBot="1" x14ac:dyDescent="0.3">
      <c r="B48" s="2" t="s">
        <v>502</v>
      </c>
      <c r="C48" s="3"/>
      <c r="D48" s="3"/>
      <c r="E48" s="3"/>
      <c r="F48" s="3"/>
      <c r="G48" s="3"/>
      <c r="J48" s="4" t="s">
        <v>85</v>
      </c>
      <c r="K48" s="6">
        <v>0.15</v>
      </c>
    </row>
    <row r="49" spans="2:11" ht="15" customHeight="1" thickBot="1" x14ac:dyDescent="0.3"/>
    <row r="50" spans="2:11" ht="15" customHeight="1" thickBot="1" x14ac:dyDescent="0.3">
      <c r="B50" s="4" t="s">
        <v>521</v>
      </c>
      <c r="C50" s="5"/>
      <c r="D50" s="5"/>
      <c r="E50" s="5"/>
      <c r="J50" s="4" t="s">
        <v>362</v>
      </c>
      <c r="K50" s="6" t="s">
        <v>512</v>
      </c>
    </row>
    <row r="51" spans="2:11" ht="15" customHeight="1" thickBot="1" x14ac:dyDescent="0.3">
      <c r="B51" s="4" t="s">
        <v>280</v>
      </c>
      <c r="C51" s="6" t="s">
        <v>313</v>
      </c>
      <c r="D51" s="6" t="s">
        <v>282</v>
      </c>
      <c r="E51" s="6" t="s">
        <v>314</v>
      </c>
      <c r="J51" s="4" t="s">
        <v>364</v>
      </c>
      <c r="K51" s="6" t="s">
        <v>513</v>
      </c>
    </row>
    <row r="52" spans="2:11" ht="15" customHeight="1" thickBot="1" x14ac:dyDescent="0.3">
      <c r="B52" s="16">
        <v>44469</v>
      </c>
      <c r="C52" s="6" t="s">
        <v>522</v>
      </c>
      <c r="D52" s="6" t="s">
        <v>523</v>
      </c>
      <c r="E52" s="6">
        <v>0.86</v>
      </c>
      <c r="J52" s="4" t="s">
        <v>361</v>
      </c>
      <c r="K52" s="6">
        <v>1.49</v>
      </c>
    </row>
    <row r="53" spans="2:11" ht="15" customHeight="1" thickBot="1" x14ac:dyDescent="0.3">
      <c r="B53" s="16">
        <v>44286</v>
      </c>
      <c r="C53" s="6" t="s">
        <v>524</v>
      </c>
      <c r="D53" s="6" t="s">
        <v>525</v>
      </c>
      <c r="E53" s="6">
        <v>0.7</v>
      </c>
    </row>
    <row r="54" spans="2:11" ht="15" customHeight="1" thickBot="1" x14ac:dyDescent="0.3">
      <c r="B54" s="16">
        <v>44104</v>
      </c>
      <c r="C54" s="6" t="s">
        <v>526</v>
      </c>
      <c r="D54" s="6" t="s">
        <v>527</v>
      </c>
      <c r="E54" s="6">
        <v>0.62</v>
      </c>
      <c r="J54" s="4" t="s">
        <v>515</v>
      </c>
      <c r="K54" s="6" t="s">
        <v>514</v>
      </c>
    </row>
    <row r="55" spans="2:11" ht="15" customHeight="1" thickBot="1" x14ac:dyDescent="0.3">
      <c r="B55" s="16">
        <v>43921</v>
      </c>
      <c r="C55" s="6" t="s">
        <v>528</v>
      </c>
      <c r="D55" s="6" t="s">
        <v>529</v>
      </c>
      <c r="E55" s="6">
        <v>0.66</v>
      </c>
      <c r="J55" s="4" t="s">
        <v>516</v>
      </c>
      <c r="K55" s="6" t="s">
        <v>514</v>
      </c>
    </row>
    <row r="56" spans="2:11" ht="15" customHeight="1" thickBot="1" x14ac:dyDescent="0.3">
      <c r="B56" s="16">
        <v>43738</v>
      </c>
      <c r="C56" s="6" t="s">
        <v>530</v>
      </c>
      <c r="D56" s="6" t="s">
        <v>531</v>
      </c>
      <c r="E56" s="6">
        <v>0.74</v>
      </c>
      <c r="J56" s="4" t="s">
        <v>517</v>
      </c>
      <c r="K56" s="6" t="s">
        <v>514</v>
      </c>
    </row>
    <row r="57" spans="2:11" ht="15" customHeight="1" thickBot="1" x14ac:dyDescent="0.3">
      <c r="B57" s="16">
        <v>43555</v>
      </c>
      <c r="C57" s="6" t="s">
        <v>532</v>
      </c>
      <c r="D57" s="6" t="s">
        <v>533</v>
      </c>
      <c r="E57" s="6">
        <v>0.67</v>
      </c>
      <c r="J57" s="4" t="s">
        <v>518</v>
      </c>
      <c r="K57" s="6" t="s">
        <v>514</v>
      </c>
    </row>
    <row r="58" spans="2:11" ht="15" customHeight="1" thickBot="1" x14ac:dyDescent="0.3">
      <c r="B58" s="16">
        <v>43190</v>
      </c>
      <c r="C58" s="6" t="s">
        <v>534</v>
      </c>
      <c r="D58" s="6" t="s">
        <v>535</v>
      </c>
      <c r="E58" s="6">
        <v>0.72</v>
      </c>
    </row>
    <row r="59" spans="2:11" ht="15" customHeight="1" thickBot="1" x14ac:dyDescent="0.3">
      <c r="B59" s="16">
        <v>43008</v>
      </c>
      <c r="C59" s="6" t="s">
        <v>536</v>
      </c>
      <c r="D59" s="6" t="s">
        <v>537</v>
      </c>
      <c r="E59" s="6">
        <v>0.69</v>
      </c>
      <c r="J59" s="4" t="s">
        <v>86</v>
      </c>
      <c r="K59" s="6" t="s">
        <v>519</v>
      </c>
    </row>
    <row r="60" spans="2:11" ht="15" customHeight="1" thickBot="1" x14ac:dyDescent="0.3">
      <c r="B60" s="16">
        <v>42825</v>
      </c>
      <c r="C60" s="6" t="s">
        <v>538</v>
      </c>
      <c r="D60" s="6" t="s">
        <v>539</v>
      </c>
      <c r="E60" s="6">
        <v>0.73</v>
      </c>
      <c r="J60" s="4" t="s">
        <v>87</v>
      </c>
      <c r="K60" s="6" t="s">
        <v>520</v>
      </c>
    </row>
    <row r="61" spans="2:11" ht="15" customHeight="1" thickBot="1" x14ac:dyDescent="0.3">
      <c r="B61" s="16">
        <v>42460</v>
      </c>
      <c r="C61" s="6" t="s">
        <v>540</v>
      </c>
      <c r="D61" s="6" t="s">
        <v>541</v>
      </c>
      <c r="E61" s="6">
        <v>0.69</v>
      </c>
    </row>
    <row r="62" spans="2:11" ht="15" customHeight="1" thickBot="1" x14ac:dyDescent="0.3">
      <c r="B62" s="16">
        <v>42277</v>
      </c>
      <c r="C62" s="6" t="s">
        <v>529</v>
      </c>
      <c r="D62" s="6" t="s">
        <v>542</v>
      </c>
      <c r="E62" s="6">
        <v>0.67</v>
      </c>
    </row>
    <row r="63" spans="2:11" ht="15" customHeight="1" thickBot="1" x14ac:dyDescent="0.3">
      <c r="B63" s="16">
        <v>42094</v>
      </c>
      <c r="C63" s="6" t="s">
        <v>529</v>
      </c>
      <c r="D63" s="6" t="s">
        <v>543</v>
      </c>
      <c r="E63" s="6">
        <v>0.69</v>
      </c>
    </row>
    <row r="64" spans="2:11" ht="15" customHeight="1" thickBot="1" x14ac:dyDescent="0.3">
      <c r="B64" s="16">
        <v>41912</v>
      </c>
      <c r="C64" s="6" t="s">
        <v>544</v>
      </c>
      <c r="D64" s="6" t="s">
        <v>545</v>
      </c>
      <c r="E64" s="6">
        <v>0.65</v>
      </c>
    </row>
    <row r="65" spans="2:5" ht="15" customHeight="1" thickBot="1" x14ac:dyDescent="0.3">
      <c r="B65" s="16">
        <v>41729</v>
      </c>
      <c r="C65" s="6" t="s">
        <v>546</v>
      </c>
      <c r="D65" s="6" t="s">
        <v>547</v>
      </c>
      <c r="E65" s="6">
        <v>0.57999999999999996</v>
      </c>
    </row>
    <row r="66" spans="2:5" ht="15" customHeight="1" thickBot="1" x14ac:dyDescent="0.3"/>
    <row r="67" spans="2:5" ht="15" customHeight="1" thickBot="1" x14ac:dyDescent="0.3">
      <c r="B67" s="4" t="s">
        <v>548</v>
      </c>
      <c r="C67" s="5"/>
      <c r="D67" s="5"/>
      <c r="E67" s="5"/>
    </row>
    <row r="68" spans="2:5" ht="15" customHeight="1" thickBot="1" x14ac:dyDescent="0.3">
      <c r="B68" s="4" t="s">
        <v>280</v>
      </c>
      <c r="C68" s="6" t="s">
        <v>281</v>
      </c>
      <c r="D68" s="6" t="s">
        <v>282</v>
      </c>
      <c r="E68" s="6" t="s">
        <v>283</v>
      </c>
    </row>
    <row r="69" spans="2:5" ht="15" customHeight="1" thickBot="1" x14ac:dyDescent="0.3">
      <c r="B69" s="16">
        <v>44469</v>
      </c>
      <c r="C69" s="6" t="s">
        <v>549</v>
      </c>
      <c r="D69" s="6" t="s">
        <v>523</v>
      </c>
      <c r="E69" s="6">
        <v>0.54</v>
      </c>
    </row>
    <row r="70" spans="2:5" ht="15" customHeight="1" thickBot="1" x14ac:dyDescent="0.3">
      <c r="B70" s="16">
        <v>44286</v>
      </c>
      <c r="C70" s="6" t="s">
        <v>550</v>
      </c>
      <c r="D70" s="6" t="s">
        <v>525</v>
      </c>
      <c r="E70" s="6">
        <v>0.42</v>
      </c>
    </row>
    <row r="71" spans="2:5" ht="15" customHeight="1" thickBot="1" x14ac:dyDescent="0.3">
      <c r="B71" s="16">
        <v>44104</v>
      </c>
      <c r="C71" s="6" t="s">
        <v>551</v>
      </c>
      <c r="D71" s="6" t="s">
        <v>527</v>
      </c>
      <c r="E71" s="6">
        <v>0.3</v>
      </c>
    </row>
    <row r="72" spans="2:5" ht="15" customHeight="1" thickBot="1" x14ac:dyDescent="0.3">
      <c r="B72" s="16">
        <v>43921</v>
      </c>
      <c r="C72" s="6" t="s">
        <v>552</v>
      </c>
      <c r="D72" s="6" t="s">
        <v>529</v>
      </c>
      <c r="E72" s="6">
        <v>0.35</v>
      </c>
    </row>
    <row r="73" spans="2:5" ht="15" customHeight="1" thickBot="1" x14ac:dyDescent="0.3">
      <c r="B73" s="16">
        <v>43738</v>
      </c>
      <c r="C73" s="6" t="s">
        <v>553</v>
      </c>
      <c r="D73" s="6" t="s">
        <v>531</v>
      </c>
      <c r="E73" s="6">
        <v>0.37</v>
      </c>
    </row>
    <row r="74" spans="2:5" ht="15" customHeight="1" thickBot="1" x14ac:dyDescent="0.3">
      <c r="B74" s="16">
        <v>43555</v>
      </c>
      <c r="C74" s="6" t="s">
        <v>553</v>
      </c>
      <c r="D74" s="6" t="s">
        <v>533</v>
      </c>
      <c r="E74" s="6">
        <v>0.36</v>
      </c>
    </row>
    <row r="75" spans="2:5" ht="15" customHeight="1" thickBot="1" x14ac:dyDescent="0.3">
      <c r="B75" s="16">
        <v>43190</v>
      </c>
      <c r="C75" s="6" t="s">
        <v>554</v>
      </c>
      <c r="D75" s="6" t="s">
        <v>535</v>
      </c>
      <c r="E75" s="6">
        <v>0.28999999999999998</v>
      </c>
    </row>
    <row r="76" spans="2:5" ht="15" customHeight="1" thickBot="1" x14ac:dyDescent="0.3">
      <c r="B76" s="16">
        <v>43008</v>
      </c>
      <c r="C76" s="6" t="s">
        <v>555</v>
      </c>
      <c r="D76" s="6" t="s">
        <v>537</v>
      </c>
      <c r="E76" s="6">
        <v>0.3</v>
      </c>
    </row>
    <row r="77" spans="2:5" ht="15" customHeight="1" thickBot="1" x14ac:dyDescent="0.3">
      <c r="B77" s="16">
        <v>42825</v>
      </c>
      <c r="C77" s="6" t="s">
        <v>556</v>
      </c>
      <c r="D77" s="6" t="s">
        <v>539</v>
      </c>
      <c r="E77" s="6">
        <v>0.41</v>
      </c>
    </row>
    <row r="78" spans="2:5" ht="15" customHeight="1" thickBot="1" x14ac:dyDescent="0.3">
      <c r="B78" s="16">
        <v>42460</v>
      </c>
      <c r="C78" s="6" t="s">
        <v>557</v>
      </c>
      <c r="D78" s="6" t="s">
        <v>541</v>
      </c>
      <c r="E78" s="6">
        <v>0.31</v>
      </c>
    </row>
    <row r="79" spans="2:5" ht="15" customHeight="1" thickBot="1" x14ac:dyDescent="0.3">
      <c r="B79" s="16">
        <v>42277</v>
      </c>
      <c r="C79" s="6" t="s">
        <v>558</v>
      </c>
      <c r="D79" s="6" t="s">
        <v>542</v>
      </c>
      <c r="E79" s="6">
        <v>0.28999999999999998</v>
      </c>
    </row>
    <row r="80" spans="2:5" ht="15" customHeight="1" thickBot="1" x14ac:dyDescent="0.3">
      <c r="B80" s="16">
        <v>42094</v>
      </c>
      <c r="C80" s="6" t="s">
        <v>559</v>
      </c>
      <c r="D80" s="6" t="s">
        <v>543</v>
      </c>
      <c r="E80" s="6">
        <v>0.31</v>
      </c>
    </row>
    <row r="81" spans="2:5" ht="15" customHeight="1" thickBot="1" x14ac:dyDescent="0.3">
      <c r="B81" s="16">
        <v>41912</v>
      </c>
      <c r="C81" s="6" t="s">
        <v>553</v>
      </c>
      <c r="D81" s="6" t="s">
        <v>545</v>
      </c>
      <c r="E81" s="6">
        <v>0.26</v>
      </c>
    </row>
    <row r="82" spans="2:5" ht="15" customHeight="1" thickBot="1" x14ac:dyDescent="0.3">
      <c r="B82" s="16">
        <v>41729</v>
      </c>
      <c r="C82" s="6" t="s">
        <v>552</v>
      </c>
      <c r="D82" s="6" t="s">
        <v>547</v>
      </c>
      <c r="E82" s="6">
        <v>0.22</v>
      </c>
    </row>
    <row r="83" spans="2:5" ht="15" customHeight="1" thickBot="1" x14ac:dyDescent="0.3"/>
    <row r="84" spans="2:5" ht="15" customHeight="1" thickBot="1" x14ac:dyDescent="0.3">
      <c r="B84" s="4" t="s">
        <v>560</v>
      </c>
      <c r="C84" s="5"/>
      <c r="D84" s="5"/>
      <c r="E84" s="5"/>
    </row>
    <row r="85" spans="2:5" ht="15" customHeight="1" thickBot="1" x14ac:dyDescent="0.3">
      <c r="B85" s="4" t="s">
        <v>280</v>
      </c>
      <c r="C85" s="6" t="s">
        <v>330</v>
      </c>
      <c r="D85" s="6" t="s">
        <v>331</v>
      </c>
      <c r="E85" s="6" t="s">
        <v>332</v>
      </c>
    </row>
    <row r="86" spans="2:5" ht="15" customHeight="1" thickBot="1" x14ac:dyDescent="0.3">
      <c r="B86" s="16">
        <v>44469</v>
      </c>
      <c r="C86" s="6" t="s">
        <v>561</v>
      </c>
      <c r="D86" s="6" t="s">
        <v>562</v>
      </c>
      <c r="E86" s="6">
        <v>2.58</v>
      </c>
    </row>
    <row r="87" spans="2:5" ht="15" customHeight="1" thickBot="1" x14ac:dyDescent="0.3">
      <c r="B87" s="16">
        <v>44286</v>
      </c>
      <c r="C87" s="6" t="s">
        <v>563</v>
      </c>
      <c r="D87" s="6" t="s">
        <v>564</v>
      </c>
      <c r="E87" s="6">
        <v>2.78</v>
      </c>
    </row>
    <row r="88" spans="2:5" ht="15" customHeight="1" thickBot="1" x14ac:dyDescent="0.3">
      <c r="B88" s="16">
        <v>44104</v>
      </c>
      <c r="C88" s="6" t="s">
        <v>565</v>
      </c>
      <c r="D88" s="6" t="s">
        <v>566</v>
      </c>
      <c r="E88" s="6">
        <v>2.2999999999999998</v>
      </c>
    </row>
    <row r="89" spans="2:5" ht="15" customHeight="1" thickBot="1" x14ac:dyDescent="0.3">
      <c r="B89" s="16">
        <v>43921</v>
      </c>
      <c r="C89" s="6" t="s">
        <v>567</v>
      </c>
      <c r="D89" s="6" t="s">
        <v>568</v>
      </c>
      <c r="E89" s="6">
        <v>1.75</v>
      </c>
    </row>
    <row r="90" spans="2:5" ht="15" customHeight="1" thickBot="1" x14ac:dyDescent="0.3">
      <c r="B90" s="16">
        <v>43738</v>
      </c>
      <c r="C90" s="6" t="s">
        <v>569</v>
      </c>
      <c r="D90" s="6" t="s">
        <v>570</v>
      </c>
      <c r="E90" s="6">
        <v>2.14</v>
      </c>
    </row>
    <row r="91" spans="2:5" ht="15" customHeight="1" thickBot="1" x14ac:dyDescent="0.3">
      <c r="B91" s="16">
        <v>43555</v>
      </c>
      <c r="C91" s="6" t="s">
        <v>571</v>
      </c>
      <c r="D91" s="6" t="s">
        <v>542</v>
      </c>
      <c r="E91" s="6">
        <v>1.69</v>
      </c>
    </row>
    <row r="92" spans="2:5" ht="15" customHeight="1" thickBot="1" x14ac:dyDescent="0.3">
      <c r="B92" s="16">
        <v>43190</v>
      </c>
      <c r="C92" s="6" t="s">
        <v>572</v>
      </c>
      <c r="D92" s="6" t="s">
        <v>573</v>
      </c>
      <c r="E92" s="6">
        <v>1.56</v>
      </c>
    </row>
    <row r="93" spans="2:5" ht="15" customHeight="1" thickBot="1" x14ac:dyDescent="0.3">
      <c r="B93" s="16">
        <v>43008</v>
      </c>
      <c r="C93" s="6" t="s">
        <v>574</v>
      </c>
      <c r="D93" s="6" t="s">
        <v>575</v>
      </c>
      <c r="E93" s="6">
        <v>1.75</v>
      </c>
    </row>
    <row r="94" spans="2:5" ht="15" customHeight="1" thickBot="1" x14ac:dyDescent="0.3">
      <c r="B94" s="16">
        <v>42825</v>
      </c>
      <c r="C94" s="6" t="s">
        <v>576</v>
      </c>
      <c r="D94" s="6" t="s">
        <v>577</v>
      </c>
      <c r="E94" s="6">
        <v>1.63</v>
      </c>
    </row>
    <row r="95" spans="2:5" ht="15" customHeight="1" thickBot="1" x14ac:dyDescent="0.3">
      <c r="B95" s="16">
        <v>42460</v>
      </c>
      <c r="C95" s="6" t="s">
        <v>578</v>
      </c>
      <c r="D95" s="6" t="s">
        <v>579</v>
      </c>
      <c r="E95" s="6">
        <v>1.46</v>
      </c>
    </row>
    <row r="96" spans="2:5" ht="15" customHeight="1" thickBot="1" x14ac:dyDescent="0.3">
      <c r="B96" s="16">
        <v>42277</v>
      </c>
      <c r="C96" s="6" t="s">
        <v>580</v>
      </c>
      <c r="D96" s="6" t="s">
        <v>581</v>
      </c>
      <c r="E96" s="6">
        <v>1.67</v>
      </c>
    </row>
    <row r="97" spans="2:12" ht="15" customHeight="1" thickBot="1" x14ac:dyDescent="0.3">
      <c r="B97" s="16">
        <v>42094</v>
      </c>
      <c r="C97" s="6" t="s">
        <v>565</v>
      </c>
      <c r="D97" s="6" t="s">
        <v>582</v>
      </c>
      <c r="E97" s="6">
        <v>1.56</v>
      </c>
    </row>
    <row r="98" spans="2:12" ht="15" customHeight="1" thickBot="1" x14ac:dyDescent="0.3">
      <c r="B98" s="16">
        <v>41912</v>
      </c>
      <c r="C98" s="6" t="s">
        <v>583</v>
      </c>
      <c r="D98" s="6" t="s">
        <v>584</v>
      </c>
      <c r="E98" s="6">
        <v>1.88</v>
      </c>
    </row>
    <row r="99" spans="2:12" ht="15" customHeight="1" thickBot="1" x14ac:dyDescent="0.3">
      <c r="B99" s="16">
        <v>41729</v>
      </c>
      <c r="C99" s="6" t="s">
        <v>585</v>
      </c>
      <c r="D99" s="6" t="s">
        <v>586</v>
      </c>
      <c r="E99" s="6">
        <v>1.92</v>
      </c>
    </row>
    <row r="100" spans="2:12" ht="15" customHeight="1" thickBot="1" x14ac:dyDescent="0.3"/>
    <row r="101" spans="2:12" ht="15" customHeight="1" thickBot="1" x14ac:dyDescent="0.3">
      <c r="B101" s="4" t="s">
        <v>587</v>
      </c>
      <c r="C101" s="5"/>
      <c r="D101" s="5"/>
      <c r="E101" s="5"/>
    </row>
    <row r="102" spans="2:12" ht="15" customHeight="1" thickBot="1" x14ac:dyDescent="0.3">
      <c r="B102" s="4" t="s">
        <v>280</v>
      </c>
      <c r="C102" s="6" t="s">
        <v>367</v>
      </c>
      <c r="D102" s="6" t="s">
        <v>368</v>
      </c>
      <c r="E102" s="6" t="s">
        <v>369</v>
      </c>
    </row>
    <row r="103" spans="2:12" ht="15" customHeight="1" thickBot="1" x14ac:dyDescent="0.3"/>
    <row r="104" spans="2:12" ht="15" customHeight="1" thickBot="1" x14ac:dyDescent="0.3">
      <c r="B104" s="4" t="s">
        <v>590</v>
      </c>
      <c r="C104" s="5"/>
      <c r="D104" s="5"/>
      <c r="E104" s="5"/>
    </row>
    <row r="105" spans="2:12" ht="15" customHeight="1" thickBot="1" x14ac:dyDescent="0.3">
      <c r="B105" s="4" t="s">
        <v>280</v>
      </c>
      <c r="C105" s="6" t="s">
        <v>367</v>
      </c>
      <c r="D105" s="6" t="s">
        <v>331</v>
      </c>
      <c r="E105" s="6" t="s">
        <v>398</v>
      </c>
    </row>
    <row r="106" spans="2:12" ht="15" customHeight="1" thickBot="1" x14ac:dyDescent="0.3"/>
    <row r="107" spans="2:12" ht="249.95" customHeight="1" thickBot="1" x14ac:dyDescent="0.3">
      <c r="B107" s="17" t="s">
        <v>588</v>
      </c>
      <c r="C107" s="17"/>
      <c r="D107" s="17"/>
      <c r="E107" s="17"/>
      <c r="F107" s="17"/>
      <c r="G107" s="17"/>
      <c r="H107" s="17"/>
      <c r="I107" s="17"/>
      <c r="J107" s="17"/>
      <c r="K107" s="17"/>
      <c r="L107" s="17"/>
    </row>
  </sheetData>
  <mergeCells count="5">
    <mergeCell ref="C39:D39"/>
    <mergeCell ref="E45:F45"/>
    <mergeCell ref="C45:D45"/>
    <mergeCell ref="B107:L107"/>
    <mergeCell ref="E39:F39"/>
  </mergeCells>
  <dataValidations count="2">
    <dataValidation type="list" allowBlank="1" showInputMessage="1" showErrorMessage="1" sqref="J30" xr:uid="{1EE05955-8069-446F-B406-11BD29D0009B}">
      <formula1>B4</formula1>
    </dataValidation>
    <dataValidation type="list" allowBlank="1" showInputMessage="1" showErrorMessage="1" sqref="J31" xr:uid="{B3643457-F1A4-4B80-BAA3-5BEB92476962}">
      <formula1>A4:A26</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Mr_Quantitative_INTC</vt:lpstr>
      <vt:lpstr>Mr_Quantitative_NVDA</vt:lpstr>
      <vt:lpstr>Mr_Quantitative_MKS.L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Greenman</dc:creator>
  <cp:lastModifiedBy>Michael</cp:lastModifiedBy>
  <dcterms:created xsi:type="dcterms:W3CDTF">2022-01-04T12:16:52Z</dcterms:created>
  <dcterms:modified xsi:type="dcterms:W3CDTF">2022-10-05T14:15:09Z</dcterms:modified>
</cp:coreProperties>
</file>