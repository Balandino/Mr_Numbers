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827" codeName="{B6124F1A-AFFB-F854-7757-9A1D4C6FC43C}"/>
  <workbookPr codeName="ThisWorkbook" defaultThemeVersion="166925"/>
  <mc:AlternateContent xmlns:mc="http://schemas.openxmlformats.org/markup-compatibility/2006">
    <mc:Choice Requires="x15">
      <x15ac:absPath xmlns:x15ac="http://schemas.microsoft.com/office/spreadsheetml/2010/11/ac" url="C:\Coding\Git\HTMLGrabber\"/>
    </mc:Choice>
  </mc:AlternateContent>
  <xr:revisionPtr revIDLastSave="0" documentId="13_ncr:1_{439EFCB0-BE66-446B-8EE3-8D39346ECDCF}" xr6:coauthVersionLast="47" xr6:coauthVersionMax="47" xr10:uidLastSave="{00000000-0000-0000-0000-000000000000}"/>
  <bookViews>
    <workbookView xWindow="-120" yWindow="-120" windowWidth="57840" windowHeight="32040" xr2:uid="{A2006532-FCEB-42F7-8504-04B04D081F72}"/>
  </bookViews>
  <sheets>
    <sheet name="Mr_Quantitative_NVDA" sheetId="2" r:id="rId1"/>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24" i="2" l="1"/>
  <c r="P25" i="2" s="1"/>
  <c r="O24" i="2"/>
  <c r="O25" i="2" s="1"/>
  <c r="N24" i="2"/>
  <c r="N25" i="2" s="1"/>
  <c r="M24" i="2"/>
  <c r="M25" i="2" s="1"/>
  <c r="L24" i="2"/>
  <c r="L25" i="2" s="1"/>
  <c r="K24" i="2"/>
  <c r="P23" i="2"/>
  <c r="O23" i="2"/>
  <c r="N23" i="2"/>
  <c r="M23" i="2"/>
  <c r="L23" i="2"/>
  <c r="K23" i="2"/>
</calcChain>
</file>

<file path=xl/sharedStrings.xml><?xml version="1.0" encoding="utf-8"?>
<sst xmlns="http://schemas.openxmlformats.org/spreadsheetml/2006/main" count="252" uniqueCount="207">
  <si>
    <t>-</t>
  </si>
  <si>
    <t>Operating Margin</t>
  </si>
  <si>
    <t>Net margin</t>
  </si>
  <si>
    <r>
      <t>Net sales</t>
    </r>
    <r>
      <rPr>
        <vertAlign val="superscript"/>
        <sz val="11"/>
        <color theme="1"/>
        <rFont val="Calibri"/>
        <family val="2"/>
        <scheme val="minor"/>
      </rPr>
      <t>1</t>
    </r>
  </si>
  <si>
    <r>
      <t>EBITDA</t>
    </r>
    <r>
      <rPr>
        <vertAlign val="superscript"/>
        <sz val="11"/>
        <color theme="1"/>
        <rFont val="Calibri"/>
        <family val="2"/>
        <scheme val="minor"/>
      </rPr>
      <t>1</t>
    </r>
  </si>
  <si>
    <r>
      <t>Operating profit (EBIT)</t>
    </r>
    <r>
      <rPr>
        <vertAlign val="superscript"/>
        <sz val="11"/>
        <color theme="1"/>
        <rFont val="Calibri"/>
        <family val="2"/>
        <scheme val="minor"/>
      </rPr>
      <t>1</t>
    </r>
  </si>
  <si>
    <r>
      <t>Net income</t>
    </r>
    <r>
      <rPr>
        <vertAlign val="superscript"/>
        <sz val="11"/>
        <color theme="1"/>
        <rFont val="Calibri"/>
        <family val="2"/>
        <scheme val="minor"/>
      </rPr>
      <t>1</t>
    </r>
  </si>
  <si>
    <r>
      <t>EPS</t>
    </r>
    <r>
      <rPr>
        <vertAlign val="superscript"/>
        <sz val="11"/>
        <color theme="1"/>
        <rFont val="Calibri"/>
        <family val="2"/>
        <scheme val="minor"/>
      </rPr>
      <t>2</t>
    </r>
  </si>
  <si>
    <t>P/E ratio</t>
  </si>
  <si>
    <r>
      <t>Capitalization</t>
    </r>
    <r>
      <rPr>
        <vertAlign val="superscript"/>
        <sz val="11"/>
        <color theme="1"/>
        <rFont val="Calibri"/>
        <family val="2"/>
        <scheme val="minor"/>
      </rPr>
      <t>1</t>
    </r>
  </si>
  <si>
    <t>Capitalization / Revenue</t>
  </si>
  <si>
    <r>
      <t>Enterprise Value (EV)</t>
    </r>
    <r>
      <rPr>
        <vertAlign val="superscript"/>
        <sz val="11"/>
        <color theme="1"/>
        <rFont val="Calibri"/>
        <family val="2"/>
        <scheme val="minor"/>
      </rPr>
      <t>1</t>
    </r>
  </si>
  <si>
    <t>EV / Revenue</t>
  </si>
  <si>
    <t>12,4x</t>
  </si>
  <si>
    <t>EV / EBITDA</t>
  </si>
  <si>
    <t>Sales Per Business</t>
  </si>
  <si>
    <t>Delta</t>
  </si>
  <si>
    <t>Sales Per Region</t>
  </si>
  <si>
    <r>
      <t>Net Debt</t>
    </r>
    <r>
      <rPr>
        <vertAlign val="superscript"/>
        <sz val="11"/>
        <color theme="1"/>
        <rFont val="Calibri"/>
        <family val="2"/>
        <scheme val="minor"/>
      </rPr>
      <t>1</t>
    </r>
  </si>
  <si>
    <r>
      <t>Net Cash position</t>
    </r>
    <r>
      <rPr>
        <vertAlign val="superscript"/>
        <sz val="11"/>
        <color theme="1"/>
        <rFont val="Calibri"/>
        <family val="2"/>
        <scheme val="minor"/>
      </rPr>
      <t>1</t>
    </r>
  </si>
  <si>
    <t>Leverage (Debt / EBITDA)</t>
  </si>
  <si>
    <t>2022 Q3</t>
  </si>
  <si>
    <t>2022 Q4</t>
  </si>
  <si>
    <t>26,0%</t>
  </si>
  <si>
    <r>
      <t>1</t>
    </r>
    <r>
      <rPr>
        <sz val="11"/>
        <color theme="1"/>
        <rFont val="Calibri"/>
        <family val="2"/>
        <scheme val="minor"/>
      </rPr>
      <t xml:space="preserve">USD in Million </t>
    </r>
    <r>
      <rPr>
        <vertAlign val="superscript"/>
        <sz val="11"/>
        <color theme="1"/>
        <rFont val="Calibri"/>
        <family val="2"/>
        <scheme val="minor"/>
      </rPr>
      <t>2</t>
    </r>
    <r>
      <rPr>
        <sz val="11"/>
        <color theme="1"/>
        <rFont val="Calibri"/>
        <family val="2"/>
        <scheme val="minor"/>
      </rPr>
      <t>USD</t>
    </r>
  </si>
  <si>
    <r>
      <t>1</t>
    </r>
    <r>
      <rPr>
        <sz val="11"/>
        <color theme="1"/>
        <rFont val="Calibri"/>
        <family val="2"/>
        <scheme val="minor"/>
      </rPr>
      <t>USD in Million</t>
    </r>
  </si>
  <si>
    <t>2022 Q1</t>
  </si>
  <si>
    <t>2022 Q2</t>
  </si>
  <si>
    <t>USD in Million</t>
  </si>
  <si>
    <t>Taiwan</t>
  </si>
  <si>
    <t>United States</t>
  </si>
  <si>
    <t>Europe</t>
  </si>
  <si>
    <t>Other Countries</t>
  </si>
  <si>
    <t>Previous Close</t>
  </si>
  <si>
    <t>Avg. Volume</t>
  </si>
  <si>
    <t>Market Cap</t>
  </si>
  <si>
    <t>Beta (5Y Monthly)</t>
  </si>
  <si>
    <t>Earnings Date</t>
  </si>
  <si>
    <t>Forward Dividend &amp; Yield</t>
  </si>
  <si>
    <t>1y Target Est</t>
  </si>
  <si>
    <t xml:space="preserve">Enterprise Value </t>
  </si>
  <si>
    <t xml:space="preserve">Trailing P/E </t>
  </si>
  <si>
    <t xml:space="preserve">Forward P/E </t>
  </si>
  <si>
    <t xml:space="preserve">PEG Ratio (5 yr expected) </t>
  </si>
  <si>
    <t>Technology</t>
  </si>
  <si>
    <t>Industry</t>
  </si>
  <si>
    <t>Semiconductors</t>
  </si>
  <si>
    <t>Exchange</t>
  </si>
  <si>
    <t>Sector(s)</t>
  </si>
  <si>
    <t>Nasdaq</t>
  </si>
  <si>
    <t>Net sales1</t>
  </si>
  <si>
    <t>EBITDA1</t>
  </si>
  <si>
    <t>Operating profit (EBIT)1</t>
  </si>
  <si>
    <t>Net income1</t>
  </si>
  <si>
    <t>EPS2</t>
  </si>
  <si>
    <t>Capitalization1</t>
  </si>
  <si>
    <t>Enterprise Value (EV)1</t>
  </si>
  <si>
    <t>Net Debt1</t>
  </si>
  <si>
    <t>Net Cash position1</t>
  </si>
  <si>
    <t>YoY</t>
  </si>
  <si>
    <t xml:space="preserve">Avg Vol (3 month) </t>
  </si>
  <si>
    <t xml:space="preserve">Avg Vol (10 day) </t>
  </si>
  <si>
    <t>Nvidia</t>
  </si>
  <si>
    <t xml:space="preserve">Fiscal Period: January </t>
  </si>
  <si>
    <t>11 716</t>
  </si>
  <si>
    <t>10 918</t>
  </si>
  <si>
    <t>16 675</t>
  </si>
  <si>
    <t>26 671</t>
  </si>
  <si>
    <t>31 540</t>
  </si>
  <si>
    <t>36 660</t>
  </si>
  <si>
    <t>4 066</t>
  </si>
  <si>
    <t>3 227</t>
  </si>
  <si>
    <t>5 630</t>
  </si>
  <si>
    <t>11 017</t>
  </si>
  <si>
    <t>13 043</t>
  </si>
  <si>
    <t>13 139</t>
  </si>
  <si>
    <t>4 407</t>
  </si>
  <si>
    <t>3 735</t>
  </si>
  <si>
    <t>6 803</t>
  </si>
  <si>
    <t>12 533</t>
  </si>
  <si>
    <t>15 022</t>
  </si>
  <si>
    <t>18 058</t>
  </si>
  <si>
    <t>37,6%</t>
  </si>
  <si>
    <t>34,2%</t>
  </si>
  <si>
    <t>40,8%</t>
  </si>
  <si>
    <t>47,0%</t>
  </si>
  <si>
    <t>47,6%</t>
  </si>
  <si>
    <t>49,3%</t>
  </si>
  <si>
    <t>4 141</t>
  </si>
  <si>
    <t>2 796</t>
  </si>
  <si>
    <t>4 332</t>
  </si>
  <si>
    <t>9 288</t>
  </si>
  <si>
    <t>10 825</t>
  </si>
  <si>
    <t>12 506</t>
  </si>
  <si>
    <t>35,3%</t>
  </si>
  <si>
    <t>25,6%</t>
  </si>
  <si>
    <t>34,8%</t>
  </si>
  <si>
    <t>34,3%</t>
  </si>
  <si>
    <t>34,1%</t>
  </si>
  <si>
    <t>1,66</t>
  </si>
  <si>
    <t>1,13</t>
  </si>
  <si>
    <t>1,73</t>
  </si>
  <si>
    <t>3,64</t>
  </si>
  <si>
    <t>4,32</t>
  </si>
  <si>
    <t>5,14</t>
  </si>
  <si>
    <t>21,7x</t>
  </si>
  <si>
    <t>52,3x</t>
  </si>
  <si>
    <t>75,3x</t>
  </si>
  <si>
    <t>87 688</t>
  </si>
  <si>
    <t>144 695</t>
  </si>
  <si>
    <t>321 626</t>
  </si>
  <si>
    <t>7,48x</t>
  </si>
  <si>
    <t>13,3x</t>
  </si>
  <si>
    <t>19,3x</t>
  </si>
  <si>
    <t>82 254</t>
  </si>
  <si>
    <t>135 789</t>
  </si>
  <si>
    <t>317 028</t>
  </si>
  <si>
    <t>7,02x</t>
  </si>
  <si>
    <t>19,0x</t>
  </si>
  <si>
    <t>20,2x</t>
  </si>
  <si>
    <t>42,1x</t>
  </si>
  <si>
    <t>56,3x</t>
  </si>
  <si>
    <t>Revenue</t>
  </si>
  <si>
    <t>5 434</t>
  </si>
  <si>
    <t>8 906</t>
  </si>
  <si>
    <t>4 598</t>
  </si>
  <si>
    <t>11 720</t>
  </si>
  <si>
    <t>20 727</t>
  </si>
  <si>
    <t>32 573</t>
  </si>
  <si>
    <t>-1,34x</t>
  </si>
  <si>
    <t>-2,76x</t>
  </si>
  <si>
    <t>-0,82x</t>
  </si>
  <si>
    <t>-1,06x</t>
  </si>
  <si>
    <t>-1,59x</t>
  </si>
  <si>
    <t>-2,48x</t>
  </si>
  <si>
    <t>2023 Q1</t>
  </si>
  <si>
    <t>2023 Q2</t>
  </si>
  <si>
    <t>5 661</t>
  </si>
  <si>
    <t>6 507</t>
  </si>
  <si>
    <t>7 103</t>
  </si>
  <si>
    <t>7 426</t>
  </si>
  <si>
    <t>7 244</t>
  </si>
  <si>
    <t>7 662</t>
  </si>
  <si>
    <t>2 918</t>
  </si>
  <si>
    <t>2 557</t>
  </si>
  <si>
    <t>3 071</t>
  </si>
  <si>
    <t>3 386</t>
  </si>
  <si>
    <t>3 543</t>
  </si>
  <si>
    <t>3 388</t>
  </si>
  <si>
    <t>3 620</t>
  </si>
  <si>
    <t>45,2%</t>
  </si>
  <si>
    <t>47,2%</t>
  </si>
  <si>
    <t>47,7%</t>
  </si>
  <si>
    <t>46,8%</t>
  </si>
  <si>
    <t>1 912</t>
  </si>
  <si>
    <t>2 374</t>
  </si>
  <si>
    <t>2 464</t>
  </si>
  <si>
    <t>2 540</t>
  </si>
  <si>
    <t>2 361</t>
  </si>
  <si>
    <t>2 584</t>
  </si>
  <si>
    <t>33,8%</t>
  </si>
  <si>
    <t>36,5%</t>
  </si>
  <si>
    <t>34,7%</t>
  </si>
  <si>
    <t>32,6%</t>
  </si>
  <si>
    <t>33,7%</t>
  </si>
  <si>
    <t>Graphics</t>
  </si>
  <si>
    <t>9 834.00</t>
  </si>
  <si>
    <t>Compute &amp; Networking</t>
  </si>
  <si>
    <t>6 841.00</t>
  </si>
  <si>
    <t>3 025.00</t>
  </si>
  <si>
    <t>4 531.00</t>
  </si>
  <si>
    <t>China</t>
  </si>
  <si>
    <t>2 731.00</t>
  </si>
  <si>
    <t>3 886.00</t>
  </si>
  <si>
    <t>3 214.00</t>
  </si>
  <si>
    <t>Other Asia Pacific</t>
  </si>
  <si>
    <t>2 685.00</t>
  </si>
  <si>
    <t>3 093.00</t>
  </si>
  <si>
    <t>1 118.00</t>
  </si>
  <si>
    <t>NVIDIA Corporation is the world leader in the design, development, and marketing of programmable graphics processors. The group also develops associated software (ForceWear brand). Net sales break down by family of products as follows:_x000D_
_x000D_
- computer processors (86.7%): processors for graphics and multimedia (GeForce, Personal Cinema, Quadro brands, etc.), storage and security (nForce) for computers, servers, work stations, etc.;_x000D_
_x000D_
- mobile processors (13.3%): processors that integrate the functions of image capture, video reading, and games for mobile telephones, portable game consoles, etc. and marketed under the GoForce name._x000D_
_x000D_
Net sales break down by industry between gaming (50.5%), data storage (27.3%), professional visualization (11.1%), automotive (6.4%) and other (4.7%)._x000D_
_x000D_
Net sales break down geographically as follows: the United States (8.1%), Taiwan (27.7%), China (25%), Asia/Pacific (24.6%), Europe (9.1%) and other (5.5%)._x000D_
_x000D_
Number of employees : 18 975 people.</t>
  </si>
  <si>
    <t>67,9x</t>
  </si>
  <si>
    <t>57,2x</t>
  </si>
  <si>
    <t>48,1x</t>
  </si>
  <si>
    <t>618 200</t>
  </si>
  <si>
    <t>23,2x</t>
  </si>
  <si>
    <t>19,6x</t>
  </si>
  <si>
    <t>16,9x</t>
  </si>
  <si>
    <t>606 480</t>
  </si>
  <si>
    <t>597 473</t>
  </si>
  <si>
    <t>585 627</t>
  </si>
  <si>
    <t>22,7x</t>
  </si>
  <si>
    <t>18,9x</t>
  </si>
  <si>
    <t>16,0x</t>
  </si>
  <si>
    <t>55,1x</t>
  </si>
  <si>
    <t>45,8x</t>
  </si>
  <si>
    <t>44,6x</t>
  </si>
  <si>
    <t>625.691B</t>
  </si>
  <si>
    <t>0.16 (0.06%)</t>
  </si>
  <si>
    <t>591.23B</t>
  </si>
  <si>
    <t>25.52M</t>
  </si>
  <si>
    <t>23.37M</t>
  </si>
  <si>
    <t xml:space="preserve">Shares Short (Jan 13, 2022) </t>
  </si>
  <si>
    <t xml:space="preserve">Shares Short (prior month Dec 14, 2021) </t>
  </si>
  <si>
    <t xml:space="preserve">Short Ratio (Jan 13, 2022) </t>
  </si>
  <si>
    <t xml:space="preserve">Short % of Float (Jan 13, 2022) </t>
  </si>
  <si>
    <t>50.71M</t>
  </si>
  <si>
    <t>53.05M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</si>
</sst>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vertAlign val="superscript"/>
      <sz val="11"/>
      <color theme="1"/>
      <name val="Calibri"/>
      <family val="2"/>
      <scheme val="minor"/>
    </font>
    <font>
      <sz val="11"/>
      <color rgb="FFFFFFFF"/>
      <name val="Calibri"/>
      <family val="2"/>
      <scheme val="minor"/>
    </font>
  </fonts>
  <fills count="5">
    <fill>
      <patternFill patternType="none"/>
    </fill>
    <fill>
      <patternFill patternType="gray125"/>
    </fill>
    <fill>
      <patternFill patternType="solid">
        <fgColor rgb="FFFF5050"/>
        <bgColor indexed="64"/>
      </patternFill>
    </fill>
    <fill>
      <patternFill patternType="solid">
        <fgColor theme="7" tint="0.79995117038483843"/>
        <bgColor indexed="64"/>
      </patternFill>
    </fill>
    <fill>
      <patternFill patternType="solid">
        <fgColor rgb="FF00B0F0"/>
        <bgColor indexed="64"/>
      </patternFill>
    </fill>
  </fills>
  <borders count="2">
    <border>
      <left/>
      <right/>
      <top/>
      <bottom/>
      <diagonal/>
    </border>
    <border>
      <left style="medium">
        <color indexed="64"/>
      </left>
      <right style="medium">
        <color indexed="64"/>
      </right>
      <top style="medium">
        <color indexed="64"/>
      </top>
      <bottom style="medium">
        <color indexed="64"/>
      </bottom>
      <diagonal/>
    </border>
  </borders>
  <cellStyleXfs count="1">
    <xf numFmtId="0" fontId="0" fillId="0" borderId="0"/>
  </cellStyleXfs>
  <cellXfs count="18">
    <xf numFmtId="0" fontId="0" fillId="0" borderId="0" xfId="0"/>
    <xf numFmtId="0" fontId="0" fillId="2" borderId="1" xfId="0" applyFill="1" applyBorder="1"/>
    <xf numFmtId="0" fontId="0" fillId="3" borderId="1" xfId="0" applyFill="1" applyBorder="1"/>
    <xf numFmtId="0" fontId="0" fillId="2" borderId="1" xfId="0" applyFill="1" applyBorder="1" applyAlignment="1">
      <alignment horizontal="left"/>
    </xf>
    <xf numFmtId="0" fontId="0" fillId="2" borderId="1" xfId="0" applyFill="1" applyBorder="1" applyAlignment="1">
      <alignment horizontal="center"/>
    </xf>
    <xf numFmtId="0" fontId="0" fillId="3" borderId="1" xfId="0" applyFill="1" applyBorder="1" applyAlignment="1">
      <alignment horizontal="right"/>
    </xf>
    <xf numFmtId="0" fontId="1" fillId="2" borderId="1" xfId="0" applyFont="1" applyFill="1" applyBorder="1" applyAlignment="1">
      <alignment horizontal="left"/>
    </xf>
    <xf numFmtId="0" fontId="0" fillId="3" borderId="1" xfId="0" applyFill="1" applyBorder="1" applyAlignment="1">
      <alignment horizontal="right" wrapText="1"/>
    </xf>
    <xf numFmtId="10" fontId="0" fillId="3" borderId="1" xfId="0" applyNumberFormat="1" applyFill="1" applyBorder="1"/>
    <xf numFmtId="0" fontId="0" fillId="4" borderId="0" xfId="0" applyFill="1"/>
    <xf numFmtId="9" fontId="0" fillId="3" borderId="1" xfId="0" applyNumberFormat="1" applyFill="1" applyBorder="1"/>
    <xf numFmtId="3" fontId="0" fillId="3" borderId="1" xfId="0" applyNumberFormat="1" applyFill="1" applyBorder="1" applyAlignment="1">
      <alignment horizontal="right"/>
    </xf>
    <xf numFmtId="10" fontId="0" fillId="3" borderId="1" xfId="0" applyNumberFormat="1" applyFill="1" applyBorder="1" applyAlignment="1">
      <alignment horizontal="right"/>
    </xf>
    <xf numFmtId="10" fontId="0" fillId="0" borderId="0" xfId="0" applyNumberFormat="1"/>
    <xf numFmtId="0" fontId="2" fillId="0" borderId="0" xfId="0" applyFont="1"/>
    <xf numFmtId="15" fontId="0" fillId="3" borderId="1" xfId="0" applyNumberFormat="1" applyFill="1" applyBorder="1" applyAlignment="1">
      <alignment horizontal="right"/>
    </xf>
    <xf numFmtId="0" fontId="0" fillId="0" borderId="1" xfId="0" applyBorder="1" applyAlignment="1">
      <alignment horizontal="center" vertical="center" wrapText="1"/>
    </xf>
    <xf numFmtId="0" fontId="0" fillId="2" borderId="1" xfId="0" applyFill="1" applyBorder="1" applyAlignment="1">
      <alignment horizontal="center" vertical="center"/>
    </xf>
  </cellXfs>
  <cellStyles count="1">
    <cellStyle name="Normal" xfId="0" builtinId="0"/>
  </cellStyles>
  <dxfs count="0"/>
  <tableStyles count="0" defaultTableStyle="TableStyleMedium2" defaultPivotStyle="PivotStyleLight16"/>
  <colors>
    <mruColors>
      <color rgb="FFFF5D5D"/>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Numbers</c:v>
          </c:tx>
          <c:spPr>
            <a:solidFill>
              <a:schemeClr val="accent1"/>
            </a:solidFill>
            <a:ln>
              <a:noFill/>
            </a:ln>
            <a:effectLst/>
          </c:spPr>
          <c:invertIfNegative val="0"/>
          <c:cat>
            <c:numRef>
              <c:f>Mr_Quantitative_NVDA!$K$23:$P$23</c:f>
              <c:numCache>
                <c:formatCode>General</c:formatCode>
                <c:ptCount val="6"/>
                <c:pt idx="0">
                  <c:v>2019</c:v>
                </c:pt>
                <c:pt idx="1">
                  <c:v>2020</c:v>
                </c:pt>
                <c:pt idx="2">
                  <c:v>2021</c:v>
                </c:pt>
                <c:pt idx="3">
                  <c:v>2022</c:v>
                </c:pt>
                <c:pt idx="4">
                  <c:v>2023</c:v>
                </c:pt>
                <c:pt idx="5">
                  <c:v>2024</c:v>
                </c:pt>
              </c:numCache>
            </c:numRef>
          </c:cat>
          <c:val>
            <c:numRef>
              <c:f>Mr_Quantitative_NVDA!$K$24:$P$24</c:f>
              <c:numCache>
                <c:formatCode>General</c:formatCode>
                <c:ptCount val="6"/>
                <c:pt idx="0">
                  <c:v>4407</c:v>
                </c:pt>
                <c:pt idx="1">
                  <c:v>3735</c:v>
                </c:pt>
                <c:pt idx="2">
                  <c:v>6803</c:v>
                </c:pt>
                <c:pt idx="3">
                  <c:v>12533</c:v>
                </c:pt>
                <c:pt idx="4">
                  <c:v>15022</c:v>
                </c:pt>
                <c:pt idx="5">
                  <c:v>18058</c:v>
                </c:pt>
              </c:numCache>
            </c:numRef>
          </c:val>
          <c:extLst>
            <c:ext xmlns:c16="http://schemas.microsoft.com/office/drawing/2014/chart" uri="{C3380CC4-5D6E-409C-BE32-E72D297353CC}">
              <c16:uniqueId val="{00000000-CCF9-44E8-A93D-E74FFA6122D2}"/>
            </c:ext>
          </c:extLst>
        </c:ser>
        <c:ser>
          <c:idx val="2"/>
          <c:order val="2"/>
          <c:spPr>
            <a:solidFill>
              <a:schemeClr val="accent3"/>
            </a:solidFill>
            <a:ln>
              <a:noFill/>
            </a:ln>
            <a:effectLst/>
          </c:spPr>
          <c:invertIfNegative val="0"/>
          <c:extLst>
            <c:ext xmlns:c16="http://schemas.microsoft.com/office/drawing/2014/chart" uri="{C3380CC4-5D6E-409C-BE32-E72D297353CC}">
              <c16:uniqueId val="{00000002-CCF9-44E8-A93D-E74FFA6122D2}"/>
            </c:ext>
          </c:extLst>
        </c:ser>
        <c:dLbls>
          <c:showLegendKey val="0"/>
          <c:showVal val="0"/>
          <c:showCatName val="0"/>
          <c:showSerName val="0"/>
          <c:showPercent val="0"/>
          <c:showBubbleSize val="0"/>
        </c:dLbls>
        <c:gapWidth val="219"/>
        <c:overlap val="-27"/>
        <c:axId val="1259619856"/>
        <c:axId val="1259620272"/>
      </c:barChart>
      <c:lineChart>
        <c:grouping val="standard"/>
        <c:varyColors val="0"/>
        <c:ser>
          <c:idx val="1"/>
          <c:order val="1"/>
          <c:tx>
            <c:v>YOY</c:v>
          </c:tx>
          <c:spPr>
            <a:ln w="9525" cap="flat" cmpd="sng" algn="ctr">
              <a:solidFill>
                <a:srgbClr val="FF5050"/>
              </a:solidFill>
              <a:prstDash val="solid"/>
              <a:round/>
              <a:headEnd type="none" w="med" len="med"/>
              <a:tailEnd type="none" w="med" len="med"/>
            </a:ln>
            <a:effectLst/>
          </c:spPr>
          <c:marker>
            <c:symbol val="circle"/>
            <c:size val="5"/>
            <c:spPr>
              <a:solidFill>
                <a:schemeClr val="accent2"/>
              </a:solidFill>
              <a:ln w="9525">
                <a:solidFill>
                  <a:schemeClr val="accent2"/>
                </a:solidFill>
              </a:ln>
              <a:effectLst/>
            </c:spPr>
          </c:marker>
          <c:val>
            <c:numRef>
              <c:f>Mr_Quantitative_NVDA!$K$25:$P$25</c:f>
              <c:numCache>
                <c:formatCode>0.00%</c:formatCode>
                <c:ptCount val="6"/>
                <c:pt idx="1">
                  <c:v>-0.15248468345813479</c:v>
                </c:pt>
                <c:pt idx="2">
                  <c:v>0.82141900937081658</c:v>
                </c:pt>
                <c:pt idx="3">
                  <c:v>0.84227546670586506</c:v>
                </c:pt>
                <c:pt idx="4">
                  <c:v>0.19859570733264181</c:v>
                </c:pt>
                <c:pt idx="5">
                  <c:v>0.20210358141392623</c:v>
                </c:pt>
              </c:numCache>
            </c:numRef>
          </c:val>
          <c:smooth val="0"/>
          <c:extLst>
            <c:ext xmlns:c16="http://schemas.microsoft.com/office/drawing/2014/chart" uri="{C3380CC4-5D6E-409C-BE32-E72D297353CC}">
              <c16:uniqueId val="{00000001-CCF9-44E8-A93D-E74FFA6122D2}"/>
            </c:ext>
          </c:extLst>
        </c:ser>
        <c:dLbls>
          <c:showLegendKey val="0"/>
          <c:showVal val="0"/>
          <c:showCatName val="0"/>
          <c:showSerName val="0"/>
          <c:showPercent val="0"/>
          <c:showBubbleSize val="0"/>
        </c:dLbls>
        <c:marker val="1"/>
        <c:smooth val="0"/>
        <c:axId val="1749902608"/>
        <c:axId val="1749900112"/>
      </c:lineChart>
      <c:catAx>
        <c:axId val="12596198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0272"/>
        <c:crosses val="autoZero"/>
        <c:auto val="1"/>
        <c:lblAlgn val="ctr"/>
        <c:lblOffset val="100"/>
        <c:noMultiLvlLbl val="0"/>
      </c:catAx>
      <c:valAx>
        <c:axId val="12596202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19856"/>
        <c:crosses val="autoZero"/>
        <c:crossBetween val="between"/>
      </c:valAx>
      <c:valAx>
        <c:axId val="1749900112"/>
        <c:scaling>
          <c:orientation val="minMax"/>
        </c:scaling>
        <c:delete val="0"/>
        <c:axPos val="r"/>
        <c:numFmt formatCode="0.0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49902608"/>
        <c:crosses val="max"/>
        <c:crossBetween val="between"/>
      </c:valAx>
      <c:catAx>
        <c:axId val="1749902608"/>
        <c:scaling>
          <c:orientation val="minMax"/>
        </c:scaling>
        <c:delete val="1"/>
        <c:axPos val="b"/>
        <c:majorTickMark val="out"/>
        <c:minorTickMark val="none"/>
        <c:tickLblPos val="nextTo"/>
        <c:crossAx val="1749900112"/>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9</xdr:col>
      <xdr:colOff>0</xdr:colOff>
      <xdr:row>3</xdr:row>
      <xdr:rowOff>0</xdr:rowOff>
    </xdr:from>
    <xdr:to>
      <xdr:col>18</xdr:col>
      <xdr:colOff>0</xdr:colOff>
      <xdr:row>21</xdr:row>
      <xdr:rowOff>0</xdr:rowOff>
    </xdr:to>
    <xdr:graphicFrame macro="">
      <xdr:nvGraphicFramePr>
        <xdr:cNvPr id="2" name="Chart 1">
          <a:extLst>
            <a:ext uri="{FF2B5EF4-FFF2-40B4-BE49-F238E27FC236}">
              <a16:creationId xmlns:a16="http://schemas.microsoft.com/office/drawing/2014/main" id="{A7A46384-3533-4F0B-8B7C-8FF0D870CC1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27400E-8B6B-4D20-B84B-37E270E22EE0}">
  <sheetPr codeName="Sheet2"/>
  <dimension ref="A2:U53"/>
  <sheetViews>
    <sheetView showGridLines="0" tabSelected="1" zoomScale="80" zoomScaleNormal="80" workbookViewId="0">
      <selection activeCell="B2" sqref="B2"/>
    </sheetView>
  </sheetViews>
  <sheetFormatPr defaultColWidth="9.140625" defaultRowHeight="15" customHeight="1" x14ac:dyDescent="0.25"/>
  <cols>
    <col min="2" max="2" width="25.85546875" bestFit="1" customWidth="1"/>
    <col min="3" max="3" width="8.7109375" bestFit="1" customWidth="1"/>
    <col min="4" max="4" width="8.5703125" bestFit="1" customWidth="1"/>
    <col min="5" max="5" width="8.7109375" bestFit="1" customWidth="1"/>
    <col min="6" max="6" width="8.5703125" bestFit="1" customWidth="1"/>
    <col min="7" max="7" width="8.7109375" bestFit="1" customWidth="1"/>
    <col min="8" max="8" width="8.5703125" bestFit="1" customWidth="1"/>
    <col min="10" max="10" width="23.140625" bestFit="1" customWidth="1"/>
    <col min="11" max="11" width="6.5703125" bestFit="1" customWidth="1"/>
    <col min="12" max="12" width="7.28515625" bestFit="1" customWidth="1"/>
    <col min="13" max="16" width="7.7109375" bestFit="1" customWidth="1"/>
    <col min="20" max="20" width="40.5703125" bestFit="1" customWidth="1"/>
    <col min="21" max="21" width="16.7109375" bestFit="1" customWidth="1"/>
  </cols>
  <sheetData>
    <row r="2" spans="1:21" ht="15" customHeight="1" x14ac:dyDescent="0.25">
      <c r="B2" s="9" t="s">
        <v>62</v>
      </c>
    </row>
    <row r="3" spans="1:21" ht="15" customHeight="1" thickBot="1" x14ac:dyDescent="0.3"/>
    <row r="4" spans="1:21" ht="15" customHeight="1" thickBot="1" x14ac:dyDescent="0.3">
      <c r="A4" s="14" t="s">
        <v>50</v>
      </c>
      <c r="B4" s="3" t="s">
        <v>63</v>
      </c>
      <c r="C4" s="4">
        <v>2019</v>
      </c>
      <c r="D4" s="4">
        <v>2020</v>
      </c>
      <c r="E4" s="4">
        <v>2021</v>
      </c>
      <c r="F4" s="4">
        <v>2022</v>
      </c>
      <c r="G4" s="4">
        <v>2023</v>
      </c>
      <c r="H4" s="4">
        <v>2024</v>
      </c>
      <c r="T4" s="1" t="s">
        <v>48</v>
      </c>
      <c r="U4" s="5" t="s">
        <v>44</v>
      </c>
    </row>
    <row r="5" spans="1:21" ht="15" customHeight="1" thickBot="1" x14ac:dyDescent="0.3">
      <c r="A5" s="14" t="s">
        <v>51</v>
      </c>
      <c r="B5" s="3" t="s">
        <v>3</v>
      </c>
      <c r="C5" s="5" t="s">
        <v>64</v>
      </c>
      <c r="D5" s="5" t="s">
        <v>65</v>
      </c>
      <c r="E5" s="5" t="s">
        <v>66</v>
      </c>
      <c r="F5" s="5" t="s">
        <v>67</v>
      </c>
      <c r="G5" s="5" t="s">
        <v>68</v>
      </c>
      <c r="H5" s="5" t="s">
        <v>69</v>
      </c>
      <c r="T5" s="1" t="s">
        <v>45</v>
      </c>
      <c r="U5" s="5" t="s">
        <v>46</v>
      </c>
    </row>
    <row r="6" spans="1:21" ht="15" customHeight="1" thickBot="1" x14ac:dyDescent="0.3">
      <c r="A6" s="14" t="s">
        <v>52</v>
      </c>
      <c r="B6" s="3" t="s">
        <v>4</v>
      </c>
      <c r="C6" s="5" t="s">
        <v>70</v>
      </c>
      <c r="D6" s="5" t="s">
        <v>71</v>
      </c>
      <c r="E6" s="5" t="s">
        <v>72</v>
      </c>
      <c r="F6" s="5" t="s">
        <v>73</v>
      </c>
      <c r="G6" s="5" t="s">
        <v>74</v>
      </c>
      <c r="H6" s="5" t="s">
        <v>75</v>
      </c>
      <c r="T6" s="1" t="s">
        <v>47</v>
      </c>
      <c r="U6" s="5" t="s">
        <v>49</v>
      </c>
    </row>
    <row r="7" spans="1:21" ht="15" customHeight="1" thickBot="1" x14ac:dyDescent="0.3">
      <c r="A7" s="14" t="s">
        <v>1</v>
      </c>
      <c r="B7" s="3" t="s">
        <v>5</v>
      </c>
      <c r="C7" s="5" t="s">
        <v>76</v>
      </c>
      <c r="D7" s="5" t="s">
        <v>77</v>
      </c>
      <c r="E7" s="5" t="s">
        <v>78</v>
      </c>
      <c r="F7" s="5" t="s">
        <v>79</v>
      </c>
      <c r="G7" s="5" t="s">
        <v>80</v>
      </c>
      <c r="H7" s="5" t="s">
        <v>81</v>
      </c>
    </row>
    <row r="8" spans="1:21" ht="15" customHeight="1" thickBot="1" x14ac:dyDescent="0.3">
      <c r="A8" s="14" t="s">
        <v>53</v>
      </c>
      <c r="B8" s="3" t="s">
        <v>1</v>
      </c>
      <c r="C8" s="5" t="s">
        <v>82</v>
      </c>
      <c r="D8" s="5" t="s">
        <v>83</v>
      </c>
      <c r="E8" s="5" t="s">
        <v>84</v>
      </c>
      <c r="F8" s="5" t="s">
        <v>85</v>
      </c>
      <c r="G8" s="5" t="s">
        <v>86</v>
      </c>
      <c r="H8" s="5" t="s">
        <v>87</v>
      </c>
      <c r="T8" s="3" t="s">
        <v>33</v>
      </c>
      <c r="U8" s="5">
        <v>247.28</v>
      </c>
    </row>
    <row r="9" spans="1:21" ht="15" customHeight="1" thickBot="1" x14ac:dyDescent="0.3">
      <c r="A9" s="14" t="s">
        <v>2</v>
      </c>
      <c r="B9" s="3" t="s">
        <v>6</v>
      </c>
      <c r="C9" s="5" t="s">
        <v>88</v>
      </c>
      <c r="D9" s="5" t="s">
        <v>89</v>
      </c>
      <c r="E9" s="5" t="s">
        <v>90</v>
      </c>
      <c r="F9" s="5" t="s">
        <v>91</v>
      </c>
      <c r="G9" s="5" t="s">
        <v>92</v>
      </c>
      <c r="H9" s="5" t="s">
        <v>93</v>
      </c>
      <c r="T9" s="3" t="s">
        <v>34</v>
      </c>
      <c r="U9" s="11">
        <v>50714991</v>
      </c>
    </row>
    <row r="10" spans="1:21" ht="15" customHeight="1" thickBot="1" x14ac:dyDescent="0.3">
      <c r="A10" s="14" t="s">
        <v>54</v>
      </c>
      <c r="B10" s="3" t="s">
        <v>2</v>
      </c>
      <c r="C10" s="5" t="s">
        <v>94</v>
      </c>
      <c r="D10" s="5" t="s">
        <v>95</v>
      </c>
      <c r="E10" s="5" t="s">
        <v>23</v>
      </c>
      <c r="F10" s="5" t="s">
        <v>96</v>
      </c>
      <c r="G10" s="5" t="s">
        <v>97</v>
      </c>
      <c r="H10" s="5" t="s">
        <v>98</v>
      </c>
      <c r="T10" s="3" t="s">
        <v>35</v>
      </c>
      <c r="U10" s="5" t="s">
        <v>196</v>
      </c>
    </row>
    <row r="11" spans="1:21" ht="15" customHeight="1" thickBot="1" x14ac:dyDescent="0.3">
      <c r="A11" s="14" t="s">
        <v>8</v>
      </c>
      <c r="B11" s="3" t="s">
        <v>7</v>
      </c>
      <c r="C11" s="5" t="s">
        <v>99</v>
      </c>
      <c r="D11" s="5" t="s">
        <v>100</v>
      </c>
      <c r="E11" s="5" t="s">
        <v>101</v>
      </c>
      <c r="F11" s="5" t="s">
        <v>102</v>
      </c>
      <c r="G11" s="5" t="s">
        <v>103</v>
      </c>
      <c r="H11" s="5" t="s">
        <v>104</v>
      </c>
      <c r="T11" s="3" t="s">
        <v>36</v>
      </c>
      <c r="U11" s="5">
        <v>1.38</v>
      </c>
    </row>
    <row r="12" spans="1:21" ht="15" customHeight="1" thickBot="1" x14ac:dyDescent="0.3">
      <c r="A12" s="14" t="s">
        <v>55</v>
      </c>
      <c r="B12" s="6" t="s">
        <v>24</v>
      </c>
      <c r="C12" s="5"/>
      <c r="D12" s="5"/>
      <c r="E12" s="5"/>
      <c r="F12" s="5"/>
      <c r="G12" s="5"/>
      <c r="H12" s="5"/>
      <c r="T12" s="3" t="s">
        <v>37</v>
      </c>
      <c r="U12" s="15">
        <v>44608</v>
      </c>
    </row>
    <row r="13" spans="1:21" ht="15" customHeight="1" thickBot="1" x14ac:dyDescent="0.3">
      <c r="A13" s="14" t="s">
        <v>10</v>
      </c>
      <c r="T13" s="3" t="s">
        <v>38</v>
      </c>
      <c r="U13" s="5" t="s">
        <v>197</v>
      </c>
    </row>
    <row r="14" spans="1:21" ht="15" customHeight="1" thickBot="1" x14ac:dyDescent="0.3">
      <c r="A14" s="14" t="s">
        <v>122</v>
      </c>
      <c r="B14" s="3" t="s">
        <v>63</v>
      </c>
      <c r="C14" s="4">
        <v>2019</v>
      </c>
      <c r="D14" s="4">
        <v>2020</v>
      </c>
      <c r="E14" s="4">
        <v>2021</v>
      </c>
      <c r="F14" s="4">
        <v>2022</v>
      </c>
      <c r="G14" s="4">
        <v>2023</v>
      </c>
      <c r="H14" s="4">
        <v>2024</v>
      </c>
      <c r="T14" s="3" t="s">
        <v>39</v>
      </c>
      <c r="U14" s="5">
        <v>340.82</v>
      </c>
    </row>
    <row r="15" spans="1:21" ht="15" customHeight="1" thickBot="1" x14ac:dyDescent="0.3">
      <c r="A15" s="14" t="s">
        <v>56</v>
      </c>
      <c r="B15" s="3" t="s">
        <v>8</v>
      </c>
      <c r="C15" s="5" t="s">
        <v>105</v>
      </c>
      <c r="D15" s="5" t="s">
        <v>106</v>
      </c>
      <c r="E15" s="5" t="s">
        <v>107</v>
      </c>
      <c r="F15" s="5" t="s">
        <v>180</v>
      </c>
      <c r="G15" s="5" t="s">
        <v>181</v>
      </c>
      <c r="H15" s="5" t="s">
        <v>182</v>
      </c>
      <c r="T15" s="3" t="s">
        <v>40</v>
      </c>
      <c r="U15" s="5" t="s">
        <v>198</v>
      </c>
    </row>
    <row r="16" spans="1:21" ht="15" customHeight="1" thickBot="1" x14ac:dyDescent="0.3">
      <c r="A16" s="14" t="s">
        <v>12</v>
      </c>
      <c r="B16" s="3" t="s">
        <v>9</v>
      </c>
      <c r="C16" s="5" t="s">
        <v>108</v>
      </c>
      <c r="D16" s="5" t="s">
        <v>109</v>
      </c>
      <c r="E16" s="5" t="s">
        <v>110</v>
      </c>
      <c r="F16" s="5" t="s">
        <v>183</v>
      </c>
      <c r="G16" s="5" t="s">
        <v>0</v>
      </c>
      <c r="H16" s="5" t="s">
        <v>0</v>
      </c>
      <c r="T16" s="3" t="s">
        <v>41</v>
      </c>
      <c r="U16" s="5">
        <v>73.8</v>
      </c>
    </row>
    <row r="17" spans="1:21" ht="15" customHeight="1" thickBot="1" x14ac:dyDescent="0.3">
      <c r="A17" s="14" t="s">
        <v>14</v>
      </c>
      <c r="B17" s="3" t="s">
        <v>10</v>
      </c>
      <c r="C17" s="5" t="s">
        <v>111</v>
      </c>
      <c r="D17" s="5" t="s">
        <v>112</v>
      </c>
      <c r="E17" s="5" t="s">
        <v>113</v>
      </c>
      <c r="F17" s="5" t="s">
        <v>184</v>
      </c>
      <c r="G17" s="5" t="s">
        <v>185</v>
      </c>
      <c r="H17" s="5" t="s">
        <v>186</v>
      </c>
      <c r="T17" s="3" t="s">
        <v>42</v>
      </c>
      <c r="U17" s="5">
        <v>46.51</v>
      </c>
    </row>
    <row r="18" spans="1:21" ht="15" customHeight="1" thickBot="1" x14ac:dyDescent="0.3">
      <c r="A18" s="14" t="s">
        <v>57</v>
      </c>
      <c r="B18" s="3" t="s">
        <v>122</v>
      </c>
      <c r="C18" s="11">
        <v>11723</v>
      </c>
      <c r="D18" s="11">
        <v>10879</v>
      </c>
      <c r="E18" s="11">
        <v>16665</v>
      </c>
      <c r="F18" s="11">
        <v>26647</v>
      </c>
      <c r="G18" s="5" t="s">
        <v>0</v>
      </c>
      <c r="H18" s="5" t="s">
        <v>0</v>
      </c>
      <c r="T18" s="3" t="s">
        <v>43</v>
      </c>
      <c r="U18" s="5">
        <v>2.5499999999999998</v>
      </c>
    </row>
    <row r="19" spans="1:21" ht="15" customHeight="1" thickBot="1" x14ac:dyDescent="0.3">
      <c r="A19" s="14" t="s">
        <v>58</v>
      </c>
      <c r="B19" s="3" t="s">
        <v>11</v>
      </c>
      <c r="C19" s="5" t="s">
        <v>114</v>
      </c>
      <c r="D19" s="5" t="s">
        <v>115</v>
      </c>
      <c r="E19" s="5" t="s">
        <v>116</v>
      </c>
      <c r="F19" s="5" t="s">
        <v>187</v>
      </c>
      <c r="G19" s="5" t="s">
        <v>188</v>
      </c>
      <c r="H19" s="5" t="s">
        <v>189</v>
      </c>
    </row>
    <row r="20" spans="1:21" ht="15" customHeight="1" thickBot="1" x14ac:dyDescent="0.3">
      <c r="A20" s="14" t="s">
        <v>20</v>
      </c>
      <c r="B20" s="3" t="s">
        <v>12</v>
      </c>
      <c r="C20" s="5" t="s">
        <v>117</v>
      </c>
      <c r="D20" s="5" t="s">
        <v>13</v>
      </c>
      <c r="E20" s="5" t="s">
        <v>118</v>
      </c>
      <c r="F20" s="5" t="s">
        <v>190</v>
      </c>
      <c r="G20" s="5" t="s">
        <v>191</v>
      </c>
      <c r="H20" s="5" t="s">
        <v>192</v>
      </c>
      <c r="T20" s="3" t="s">
        <v>201</v>
      </c>
      <c r="U20" s="5" t="s">
        <v>199</v>
      </c>
    </row>
    <row r="21" spans="1:21" ht="15" customHeight="1" thickBot="1" x14ac:dyDescent="0.3">
      <c r="A21" s="14" t="s">
        <v>50</v>
      </c>
      <c r="B21" s="3" t="s">
        <v>14</v>
      </c>
      <c r="C21" s="5" t="s">
        <v>119</v>
      </c>
      <c r="D21" s="5" t="s">
        <v>120</v>
      </c>
      <c r="E21" s="5" t="s">
        <v>121</v>
      </c>
      <c r="F21" s="5" t="s">
        <v>193</v>
      </c>
      <c r="G21" s="5" t="s">
        <v>194</v>
      </c>
      <c r="H21" s="5" t="s">
        <v>195</v>
      </c>
      <c r="T21" s="3" t="s">
        <v>202</v>
      </c>
      <c r="U21" s="5" t="s">
        <v>200</v>
      </c>
    </row>
    <row r="22" spans="1:21" ht="15" customHeight="1" thickBot="1" x14ac:dyDescent="0.3">
      <c r="A22" s="14" t="s">
        <v>51</v>
      </c>
      <c r="B22" s="6" t="s">
        <v>25</v>
      </c>
      <c r="C22" s="7"/>
      <c r="D22" s="5"/>
      <c r="E22" s="5"/>
      <c r="F22" s="5"/>
      <c r="G22" s="5"/>
      <c r="H22" s="5"/>
      <c r="T22" s="3" t="s">
        <v>203</v>
      </c>
      <c r="U22" s="5">
        <v>0.54</v>
      </c>
    </row>
    <row r="23" spans="1:21" ht="15" customHeight="1" thickBot="1" x14ac:dyDescent="0.3">
      <c r="A23" s="14" t="s">
        <v>52</v>
      </c>
      <c r="J23" s="9" t="s">
        <v>63</v>
      </c>
      <c r="K23">
        <f>VLOOKUP(J23,B4:H36,2,FALSE)</f>
        <v>2019</v>
      </c>
      <c r="L23">
        <f>VLOOKUP(J23,B4:H36,3,FALSE)</f>
        <v>2020</v>
      </c>
      <c r="M23">
        <f>VLOOKUP(J23,B4:H36,4,FALSE)</f>
        <v>2021</v>
      </c>
      <c r="N23">
        <f>VLOOKUP(J23,B4:H36,5,FALSE)</f>
        <v>2022</v>
      </c>
      <c r="O23">
        <f>VLOOKUP(J23,B4:H36,6,FALSE)</f>
        <v>2023</v>
      </c>
      <c r="P23">
        <f>VLOOKUP(J23,B4:H36,7,FALSE)</f>
        <v>2024</v>
      </c>
      <c r="T23" s="3" t="s">
        <v>204</v>
      </c>
      <c r="U23" s="12">
        <v>1.06E-2</v>
      </c>
    </row>
    <row r="24" spans="1:21" ht="15" customHeight="1" thickBot="1" x14ac:dyDescent="0.3">
      <c r="A24" s="14" t="s">
        <v>1</v>
      </c>
      <c r="B24" s="3" t="s">
        <v>63</v>
      </c>
      <c r="C24" s="4">
        <v>2019</v>
      </c>
      <c r="D24" s="4">
        <v>2020</v>
      </c>
      <c r="E24" s="4">
        <v>2021</v>
      </c>
      <c r="F24" s="4">
        <v>2022</v>
      </c>
      <c r="G24" s="4">
        <v>2023</v>
      </c>
      <c r="H24" s="4">
        <v>2024</v>
      </c>
      <c r="J24" s="9" t="s">
        <v>52</v>
      </c>
      <c r="K24">
        <f>VALUE(SUBSTITUTE(SUBSTITUTE(SUBSTITUTE(SUBSTITUTE(VLOOKUP(J24,B4:H36,2,FALSE)," ",""),"x",""),"%",""),",","."))</f>
        <v>4407</v>
      </c>
      <c r="L24">
        <f>VALUE(SUBSTITUTE(SUBSTITUTE(SUBSTITUTE(SUBSTITUTE(VLOOKUP(J24,B4:H36,3,FALSE)," ",""),"x",""),"%",""),",","."))</f>
        <v>3735</v>
      </c>
      <c r="M24">
        <f>VALUE(SUBSTITUTE(SUBSTITUTE(SUBSTITUTE(SUBSTITUTE(VLOOKUP(J24,B4:H36,4,FALSE)," ",""),"x",""),"%",""),",","."))</f>
        <v>6803</v>
      </c>
      <c r="N24">
        <f>VALUE(SUBSTITUTE(SUBSTITUTE(SUBSTITUTE(SUBSTITUTE(VLOOKUP(J24,B4:H36,5,FALSE)," ",""),"x",""),"%",""),",","."))</f>
        <v>12533</v>
      </c>
      <c r="O24">
        <f>VALUE(SUBSTITUTE(SUBSTITUTE(SUBSTITUTE(SUBSTITUTE(VLOOKUP(J24,B4:H36,6,FALSE)," ",""),"x",""),"%",""),",","."))</f>
        <v>15022</v>
      </c>
      <c r="P24">
        <f>VALUE(SUBSTITUTE(SUBSTITUTE(SUBSTITUTE(SUBSTITUTE(VLOOKUP(J24,B4:H36,7,FALSE)," ",""),"x",""),"%",""),",","."))</f>
        <v>18058</v>
      </c>
    </row>
    <row r="25" spans="1:21" ht="15" customHeight="1" thickBot="1" x14ac:dyDescent="0.3">
      <c r="A25" s="14" t="s">
        <v>53</v>
      </c>
      <c r="B25" s="3" t="s">
        <v>18</v>
      </c>
      <c r="C25" s="5" t="s">
        <v>0</v>
      </c>
      <c r="D25" s="5" t="s">
        <v>0</v>
      </c>
      <c r="E25" s="5" t="s">
        <v>0</v>
      </c>
      <c r="F25" s="5" t="s">
        <v>0</v>
      </c>
      <c r="G25" s="5" t="s">
        <v>0</v>
      </c>
      <c r="H25" s="5" t="s">
        <v>0</v>
      </c>
      <c r="J25" t="s">
        <v>59</v>
      </c>
      <c r="L25" s="13">
        <f>(L24-K24)/K24</f>
        <v>-0.15248468345813479</v>
      </c>
      <c r="M25" s="13">
        <f>(M24-L24)/L24</f>
        <v>0.82141900937081658</v>
      </c>
      <c r="N25" s="13">
        <f>(N24-M24)/M24</f>
        <v>0.84227546670586506</v>
      </c>
      <c r="O25" s="13">
        <f>(O24-N24)/N24</f>
        <v>0.19859570733264181</v>
      </c>
      <c r="P25" s="13">
        <f>(P24-O24)/O24</f>
        <v>0.20210358141392623</v>
      </c>
      <c r="T25" s="3" t="s">
        <v>60</v>
      </c>
      <c r="U25" s="5" t="s">
        <v>205</v>
      </c>
    </row>
    <row r="26" spans="1:21" ht="15" customHeight="1" thickBot="1" x14ac:dyDescent="0.3">
      <c r="A26" s="14" t="s">
        <v>2</v>
      </c>
      <c r="B26" s="3" t="s">
        <v>19</v>
      </c>
      <c r="C26" s="5" t="s">
        <v>123</v>
      </c>
      <c r="D26" s="5" t="s">
        <v>124</v>
      </c>
      <c r="E26" s="5" t="s">
        <v>125</v>
      </c>
      <c r="F26" s="5" t="s">
        <v>126</v>
      </c>
      <c r="G26" s="5" t="s">
        <v>127</v>
      </c>
      <c r="H26" s="5" t="s">
        <v>128</v>
      </c>
      <c r="T26" s="3" t="s">
        <v>61</v>
      </c>
      <c r="U26" s="5" t="s">
        <v>206</v>
      </c>
    </row>
    <row r="27" spans="1:21" ht="15" customHeight="1" thickBot="1" x14ac:dyDescent="0.3">
      <c r="B27" s="3" t="s">
        <v>20</v>
      </c>
      <c r="C27" s="5" t="s">
        <v>129</v>
      </c>
      <c r="D27" s="5" t="s">
        <v>130</v>
      </c>
      <c r="E27" s="5" t="s">
        <v>131</v>
      </c>
      <c r="F27" s="5" t="s">
        <v>132</v>
      </c>
      <c r="G27" s="5" t="s">
        <v>133</v>
      </c>
      <c r="H27" s="5" t="s">
        <v>134</v>
      </c>
    </row>
    <row r="28" spans="1:21" ht="15" customHeight="1" thickBot="1" x14ac:dyDescent="0.3">
      <c r="B28" s="6" t="s">
        <v>24</v>
      </c>
      <c r="C28" s="5"/>
      <c r="D28" s="5"/>
      <c r="E28" s="5"/>
      <c r="F28" s="5"/>
      <c r="G28" s="5"/>
      <c r="H28" s="5"/>
    </row>
    <row r="29" spans="1:21" ht="15" customHeight="1" thickBot="1" x14ac:dyDescent="0.3"/>
    <row r="30" spans="1:21" ht="15" customHeight="1" thickBot="1" x14ac:dyDescent="0.3">
      <c r="B30" s="3" t="s">
        <v>63</v>
      </c>
      <c r="C30" s="4" t="s">
        <v>26</v>
      </c>
      <c r="D30" s="4" t="s">
        <v>27</v>
      </c>
      <c r="E30" s="4" t="s">
        <v>21</v>
      </c>
      <c r="F30" s="4" t="s">
        <v>22</v>
      </c>
      <c r="G30" s="4" t="s">
        <v>135</v>
      </c>
      <c r="H30" s="4" t="s">
        <v>136</v>
      </c>
    </row>
    <row r="31" spans="1:21" ht="15" customHeight="1" thickBot="1" x14ac:dyDescent="0.3">
      <c r="B31" s="3" t="s">
        <v>3</v>
      </c>
      <c r="C31" s="5" t="s">
        <v>137</v>
      </c>
      <c r="D31" s="5" t="s">
        <v>138</v>
      </c>
      <c r="E31" s="5" t="s">
        <v>139</v>
      </c>
      <c r="F31" s="5" t="s">
        <v>140</v>
      </c>
      <c r="G31" s="5" t="s">
        <v>141</v>
      </c>
      <c r="H31" s="5" t="s">
        <v>142</v>
      </c>
    </row>
    <row r="32" spans="1:21" ht="15" customHeight="1" thickBot="1" x14ac:dyDescent="0.3">
      <c r="B32" s="3" t="s">
        <v>4</v>
      </c>
      <c r="C32" s="5" t="s">
        <v>0</v>
      </c>
      <c r="D32" s="5" t="s">
        <v>0</v>
      </c>
      <c r="E32" s="5" t="s">
        <v>0</v>
      </c>
      <c r="F32" s="5" t="s">
        <v>143</v>
      </c>
      <c r="G32" s="5" t="s">
        <v>0</v>
      </c>
      <c r="H32" s="5" t="s">
        <v>0</v>
      </c>
    </row>
    <row r="33" spans="2:8" ht="15" customHeight="1" thickBot="1" x14ac:dyDescent="0.3">
      <c r="B33" s="3" t="s">
        <v>5</v>
      </c>
      <c r="C33" s="5" t="s">
        <v>144</v>
      </c>
      <c r="D33" s="5" t="s">
        <v>145</v>
      </c>
      <c r="E33" s="5" t="s">
        <v>146</v>
      </c>
      <c r="F33" s="5" t="s">
        <v>147</v>
      </c>
      <c r="G33" s="5" t="s">
        <v>148</v>
      </c>
      <c r="H33" s="5" t="s">
        <v>149</v>
      </c>
    </row>
    <row r="34" spans="2:8" ht="15" customHeight="1" thickBot="1" x14ac:dyDescent="0.3">
      <c r="B34" s="3" t="s">
        <v>1</v>
      </c>
      <c r="C34" s="5" t="s">
        <v>150</v>
      </c>
      <c r="D34" s="5" t="s">
        <v>151</v>
      </c>
      <c r="E34" s="5" t="s">
        <v>152</v>
      </c>
      <c r="F34" s="5" t="s">
        <v>152</v>
      </c>
      <c r="G34" s="5" t="s">
        <v>153</v>
      </c>
      <c r="H34" s="5" t="s">
        <v>151</v>
      </c>
    </row>
    <row r="35" spans="2:8" ht="15" customHeight="1" thickBot="1" x14ac:dyDescent="0.3">
      <c r="B35" s="3" t="s">
        <v>6</v>
      </c>
      <c r="C35" s="5" t="s">
        <v>154</v>
      </c>
      <c r="D35" s="5" t="s">
        <v>155</v>
      </c>
      <c r="E35" s="5" t="s">
        <v>156</v>
      </c>
      <c r="F35" s="5" t="s">
        <v>157</v>
      </c>
      <c r="G35" s="5" t="s">
        <v>158</v>
      </c>
      <c r="H35" s="5" t="s">
        <v>159</v>
      </c>
    </row>
    <row r="36" spans="2:8" ht="15" customHeight="1" thickBot="1" x14ac:dyDescent="0.3">
      <c r="B36" s="3" t="s">
        <v>2</v>
      </c>
      <c r="C36" s="5" t="s">
        <v>160</v>
      </c>
      <c r="D36" s="5" t="s">
        <v>161</v>
      </c>
      <c r="E36" s="5" t="s">
        <v>162</v>
      </c>
      <c r="F36" s="5" t="s">
        <v>83</v>
      </c>
      <c r="G36" s="5" t="s">
        <v>163</v>
      </c>
      <c r="H36" s="5" t="s">
        <v>164</v>
      </c>
    </row>
    <row r="37" spans="2:8" ht="15" customHeight="1" thickBot="1" x14ac:dyDescent="0.3">
      <c r="B37" s="6" t="s">
        <v>24</v>
      </c>
      <c r="C37" s="5"/>
      <c r="D37" s="5"/>
      <c r="E37" s="5"/>
      <c r="F37" s="5"/>
      <c r="G37" s="5"/>
      <c r="H37" s="5"/>
    </row>
    <row r="38" spans="2:8" ht="15" customHeight="1" thickBot="1" x14ac:dyDescent="0.3"/>
    <row r="39" spans="2:8" ht="15" customHeight="1" thickBot="1" x14ac:dyDescent="0.3">
      <c r="B39" s="1" t="s">
        <v>15</v>
      </c>
      <c r="C39" s="17">
        <v>2021</v>
      </c>
      <c r="D39" s="17"/>
    </row>
    <row r="40" spans="2:8" ht="15" customHeight="1" thickBot="1" x14ac:dyDescent="0.3">
      <c r="B40" s="1" t="s">
        <v>165</v>
      </c>
      <c r="C40" s="2" t="s">
        <v>166</v>
      </c>
      <c r="D40" s="10">
        <v>0.59</v>
      </c>
    </row>
    <row r="41" spans="2:8" ht="15" customHeight="1" thickBot="1" x14ac:dyDescent="0.3">
      <c r="B41" s="1" t="s">
        <v>167</v>
      </c>
      <c r="C41" s="2" t="s">
        <v>168</v>
      </c>
      <c r="D41" s="10">
        <v>0.41</v>
      </c>
    </row>
    <row r="42" spans="2:8" ht="15" customHeight="1" thickBot="1" x14ac:dyDescent="0.3">
      <c r="B42" s="1" t="s">
        <v>28</v>
      </c>
      <c r="C42" s="2"/>
      <c r="D42" s="2"/>
    </row>
    <row r="43" spans="2:8" ht="15" customHeight="1" thickBot="1" x14ac:dyDescent="0.3"/>
    <row r="44" spans="2:8" ht="15" customHeight="1" thickBot="1" x14ac:dyDescent="0.3">
      <c r="B44" s="1" t="s">
        <v>17</v>
      </c>
      <c r="C44" s="17">
        <v>2020</v>
      </c>
      <c r="D44" s="17"/>
      <c r="E44" s="17">
        <v>2021</v>
      </c>
      <c r="F44" s="17"/>
      <c r="G44" s="1" t="s">
        <v>16</v>
      </c>
    </row>
    <row r="45" spans="2:8" ht="15" customHeight="1" thickBot="1" x14ac:dyDescent="0.3">
      <c r="B45" s="1" t="s">
        <v>29</v>
      </c>
      <c r="C45" s="2" t="s">
        <v>169</v>
      </c>
      <c r="D45" s="8">
        <v>0.27700000000000002</v>
      </c>
      <c r="E45" s="2" t="s">
        <v>170</v>
      </c>
      <c r="F45" s="8">
        <v>0.27200000000000002</v>
      </c>
      <c r="G45" s="8">
        <v>0.49790000000000001</v>
      </c>
    </row>
    <row r="46" spans="2:8" ht="15" customHeight="1" thickBot="1" x14ac:dyDescent="0.3">
      <c r="B46" s="1" t="s">
        <v>171</v>
      </c>
      <c r="C46" s="2" t="s">
        <v>172</v>
      </c>
      <c r="D46" s="10">
        <v>0.25</v>
      </c>
      <c r="E46" s="2" t="s">
        <v>173</v>
      </c>
      <c r="F46" s="8">
        <v>0.23300000000000001</v>
      </c>
      <c r="G46" s="8">
        <v>0.4229</v>
      </c>
    </row>
    <row r="47" spans="2:8" ht="15" customHeight="1" thickBot="1" x14ac:dyDescent="0.3">
      <c r="B47" s="1" t="s">
        <v>30</v>
      </c>
      <c r="C47" s="2">
        <v>886</v>
      </c>
      <c r="D47" s="8">
        <v>8.1000000000000003E-2</v>
      </c>
      <c r="E47" s="2" t="s">
        <v>174</v>
      </c>
      <c r="F47" s="8">
        <v>0.193</v>
      </c>
      <c r="G47" s="8">
        <v>2.6274999999999999</v>
      </c>
    </row>
    <row r="48" spans="2:8" ht="15" customHeight="1" thickBot="1" x14ac:dyDescent="0.3">
      <c r="B48" s="1" t="s">
        <v>175</v>
      </c>
      <c r="C48" s="2" t="s">
        <v>176</v>
      </c>
      <c r="D48" s="8">
        <v>0.246</v>
      </c>
      <c r="E48" s="2" t="s">
        <v>177</v>
      </c>
      <c r="F48" s="8">
        <v>0.185</v>
      </c>
      <c r="G48" s="8">
        <v>0.152</v>
      </c>
    </row>
    <row r="49" spans="2:12" ht="15" customHeight="1" thickBot="1" x14ac:dyDescent="0.3">
      <c r="B49" s="1" t="s">
        <v>31</v>
      </c>
      <c r="C49" s="2">
        <v>992</v>
      </c>
      <c r="D49" s="8">
        <v>9.0999999999999998E-2</v>
      </c>
      <c r="E49" s="2" t="s">
        <v>178</v>
      </c>
      <c r="F49" s="8">
        <v>6.7000000000000004E-2</v>
      </c>
      <c r="G49" s="8">
        <v>0.127</v>
      </c>
    </row>
    <row r="50" spans="2:12" ht="15" customHeight="1" thickBot="1" x14ac:dyDescent="0.3">
      <c r="B50" s="1" t="s">
        <v>32</v>
      </c>
      <c r="C50" s="2">
        <v>599</v>
      </c>
      <c r="D50" s="8">
        <v>5.5E-2</v>
      </c>
      <c r="E50" s="2">
        <v>833</v>
      </c>
      <c r="F50" s="10">
        <v>0.05</v>
      </c>
      <c r="G50" s="8">
        <v>0.39069999999999999</v>
      </c>
    </row>
    <row r="51" spans="2:12" ht="15" customHeight="1" thickBot="1" x14ac:dyDescent="0.3">
      <c r="B51" s="1" t="s">
        <v>28</v>
      </c>
      <c r="C51" s="2"/>
      <c r="D51" s="2"/>
      <c r="E51" s="2"/>
      <c r="F51" s="2"/>
      <c r="G51" s="2"/>
    </row>
    <row r="52" spans="2:12" ht="15" customHeight="1" thickBot="1" x14ac:dyDescent="0.3"/>
    <row r="53" spans="2:12" ht="249.95" customHeight="1" thickBot="1" x14ac:dyDescent="0.3">
      <c r="B53" s="16" t="s">
        <v>179</v>
      </c>
      <c r="C53" s="16"/>
      <c r="D53" s="16"/>
      <c r="E53" s="16"/>
      <c r="F53" s="16"/>
      <c r="G53" s="16"/>
      <c r="H53" s="16"/>
      <c r="I53" s="16"/>
      <c r="J53" s="16"/>
      <c r="K53" s="16"/>
      <c r="L53" s="16"/>
    </row>
  </sheetData>
  <mergeCells count="4">
    <mergeCell ref="B53:L53"/>
    <mergeCell ref="C39:D39"/>
    <mergeCell ref="E44:F44"/>
    <mergeCell ref="C44:D44"/>
  </mergeCells>
  <dataValidations count="2">
    <dataValidation type="list" allowBlank="1" showInputMessage="1" showErrorMessage="1" sqref="J23" xr:uid="{821F827F-3533-40AC-BDC9-CE273F1ECA2E}">
      <formula1>B4</formula1>
    </dataValidation>
    <dataValidation type="list" allowBlank="1" showInputMessage="1" showErrorMessage="1" sqref="J24" xr:uid="{E855D4EE-5928-47DD-A6CD-B54DA215950F}">
      <formula1>A4:A26</formula1>
    </dataValidation>
  </dataValidation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Mr_Quantitative_NVDA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Greenman</dc:creator>
  <cp:lastModifiedBy>Michael</cp:lastModifiedBy>
  <dcterms:created xsi:type="dcterms:W3CDTF">2022-01-04T12:16:52Z</dcterms:created>
  <dcterms:modified xsi:type="dcterms:W3CDTF">2022-02-08T21:11:09Z</dcterms:modified>
</cp:coreProperties>
</file>